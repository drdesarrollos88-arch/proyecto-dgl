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Unidades compartidas\slg_presupuesto_de_laboratorio\PRESUPUESTO DE LABORATORIO\2023\"/>
    </mc:Choice>
  </mc:AlternateContent>
  <xr:revisionPtr revIDLastSave="0" documentId="13_ncr:1_{07A35390-2D72-406B-A882-03E86FB4D23A}" xr6:coauthVersionLast="47" xr6:coauthVersionMax="47" xr10:uidLastSave="{00000000-0000-0000-0000-000000000000}"/>
  <bookViews>
    <workbookView xWindow="4860" yWindow="-11640" windowWidth="20730" windowHeight="11040" xr2:uid="{00000000-000D-0000-FFFF-FFFF00000000}"/>
  </bookViews>
  <sheets>
    <sheet name="Tarifado 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jGN4BtluvAkYIgcoSrK6pInJGZAh8WKUvSsDMnG79Q="/>
    </ext>
  </extLst>
</workbook>
</file>

<file path=xl/calcChain.xml><?xml version="1.0" encoding="utf-8"?>
<calcChain xmlns="http://schemas.openxmlformats.org/spreadsheetml/2006/main">
  <c r="F321" i="1" l="1"/>
  <c r="U108" i="1" l="1"/>
  <c r="U107" i="1"/>
  <c r="U105" i="1"/>
  <c r="U104" i="1"/>
  <c r="Y104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6" i="1"/>
  <c r="Y287" i="1"/>
  <c r="Y288" i="1"/>
  <c r="Y289" i="1"/>
  <c r="Y290" i="1"/>
  <c r="Y291" i="1"/>
  <c r="Y292" i="1"/>
  <c r="Y293" i="1"/>
  <c r="Y294" i="1"/>
  <c r="Y295" i="1"/>
  <c r="Y297" i="1"/>
  <c r="Y298" i="1"/>
  <c r="Y299" i="1"/>
  <c r="Y300" i="1"/>
  <c r="Y301" i="1"/>
  <c r="Y302" i="1"/>
  <c r="Y303" i="1"/>
  <c r="Y304" i="1"/>
  <c r="Y305" i="1"/>
  <c r="Y306" i="1"/>
  <c r="Y308" i="1"/>
  <c r="Y309" i="1"/>
  <c r="Y310" i="1"/>
  <c r="Y311" i="1"/>
  <c r="Y312" i="1"/>
  <c r="Y313" i="1"/>
  <c r="Y314" i="1"/>
  <c r="Y316" i="1"/>
  <c r="Y317" i="1"/>
  <c r="Y318" i="1"/>
  <c r="Y319" i="1"/>
  <c r="Y320" i="1"/>
  <c r="Y321" i="1"/>
  <c r="Y324" i="1"/>
  <c r="Y325" i="1"/>
  <c r="Y326" i="1"/>
  <c r="Y327" i="1"/>
  <c r="Y328" i="1"/>
  <c r="Y329" i="1"/>
  <c r="Y330" i="1"/>
  <c r="Y331" i="1"/>
  <c r="Y332" i="1"/>
  <c r="Y334" i="1"/>
  <c r="Y335" i="1"/>
  <c r="Y336" i="1"/>
  <c r="Y337" i="1"/>
  <c r="Y338" i="1"/>
  <c r="Y339" i="1"/>
  <c r="Y340" i="1"/>
  <c r="Y341" i="1"/>
  <c r="Y342" i="1"/>
  <c r="Y343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5" i="1"/>
  <c r="E394" i="1"/>
  <c r="D394" i="1"/>
  <c r="C394" i="1"/>
  <c r="E393" i="1"/>
  <c r="D393" i="1"/>
  <c r="C393" i="1"/>
  <c r="E392" i="1"/>
  <c r="C392" i="1"/>
  <c r="H367" i="1" l="1"/>
  <c r="H244" i="1" l="1"/>
  <c r="H24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4" i="1"/>
  <c r="H25" i="1"/>
  <c r="H26" i="1"/>
  <c r="H27" i="1"/>
  <c r="H28" i="1"/>
  <c r="H29" i="1"/>
  <c r="H30" i="1"/>
  <c r="H31" i="1"/>
  <c r="H32" i="1"/>
  <c r="H34" i="1"/>
  <c r="H35" i="1"/>
  <c r="H36" i="1"/>
  <c r="H38" i="1"/>
  <c r="H42" i="1"/>
  <c r="H43" i="1"/>
  <c r="H44" i="1"/>
  <c r="H45" i="1"/>
  <c r="H46" i="1"/>
  <c r="H47" i="1"/>
  <c r="H48" i="1"/>
  <c r="H49" i="1"/>
  <c r="H50" i="1"/>
  <c r="H51" i="1"/>
  <c r="H53" i="1"/>
  <c r="H54" i="1"/>
  <c r="H55" i="1"/>
  <c r="H56" i="1"/>
  <c r="H57" i="1"/>
  <c r="H58" i="1"/>
  <c r="H59" i="1"/>
  <c r="H60" i="1"/>
  <c r="H61" i="1"/>
  <c r="H62" i="1"/>
  <c r="H63" i="1"/>
  <c r="H64" i="1"/>
  <c r="H66" i="1"/>
  <c r="H67" i="1"/>
  <c r="H68" i="1"/>
  <c r="H69" i="1"/>
  <c r="H70" i="1"/>
  <c r="H71" i="1"/>
  <c r="H72" i="1"/>
  <c r="H73" i="1"/>
  <c r="H74" i="1"/>
  <c r="H75" i="1"/>
  <c r="H76" i="1"/>
  <c r="H77" i="1"/>
  <c r="H79" i="1"/>
  <c r="H80" i="1"/>
  <c r="H82" i="1"/>
  <c r="H83" i="1"/>
  <c r="H84" i="1"/>
  <c r="H85" i="1"/>
  <c r="H88" i="1"/>
  <c r="H89" i="1"/>
  <c r="H90" i="1"/>
  <c r="H91" i="1"/>
  <c r="H92" i="1"/>
  <c r="H93" i="1"/>
  <c r="F94" i="1"/>
  <c r="F95" i="1"/>
  <c r="H96" i="1"/>
  <c r="H101" i="1"/>
  <c r="H104" i="1"/>
  <c r="H107" i="1"/>
  <c r="H110" i="1"/>
  <c r="H111" i="1"/>
  <c r="H114" i="1"/>
  <c r="H115" i="1"/>
  <c r="H116" i="1"/>
  <c r="H117" i="1"/>
  <c r="H118" i="1"/>
  <c r="H119" i="1"/>
  <c r="H122" i="1"/>
  <c r="H123" i="1"/>
  <c r="H124" i="1"/>
  <c r="H125" i="1"/>
  <c r="H127" i="1"/>
  <c r="H128" i="1"/>
  <c r="H129" i="1"/>
  <c r="H130" i="1"/>
  <c r="H131" i="1"/>
  <c r="H132" i="1"/>
  <c r="H134" i="1"/>
  <c r="H136" i="1"/>
  <c r="H139" i="1"/>
  <c r="H140" i="1"/>
  <c r="H141" i="1"/>
  <c r="H142" i="1"/>
  <c r="H143" i="1"/>
  <c r="H145" i="1"/>
  <c r="H147" i="1"/>
  <c r="H150" i="1"/>
  <c r="H151" i="1"/>
  <c r="H152" i="1"/>
  <c r="H153" i="1"/>
  <c r="H155" i="1"/>
  <c r="H157" i="1"/>
  <c r="H160" i="1"/>
  <c r="H161" i="1"/>
  <c r="H162" i="1"/>
  <c r="H163" i="1"/>
  <c r="H164" i="1"/>
  <c r="H165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6" i="1"/>
  <c r="H187" i="1"/>
  <c r="H188" i="1"/>
  <c r="H189" i="1"/>
  <c r="H190" i="1"/>
  <c r="H191" i="1"/>
  <c r="H199" i="1"/>
  <c r="H202" i="1"/>
  <c r="H203" i="1"/>
  <c r="H205" i="1"/>
  <c r="H207" i="1"/>
  <c r="H209" i="1"/>
  <c r="H211" i="1"/>
  <c r="H213" i="1"/>
  <c r="H215" i="1"/>
  <c r="H216" i="1"/>
  <c r="H217" i="1"/>
  <c r="H218" i="1"/>
  <c r="H221" i="1"/>
  <c r="H222" i="1"/>
  <c r="H223" i="1"/>
  <c r="H225" i="1"/>
  <c r="H226" i="1"/>
  <c r="H227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5" i="1"/>
  <c r="H246" i="1"/>
  <c r="H247" i="1"/>
  <c r="H248" i="1"/>
  <c r="H251" i="1"/>
  <c r="H252" i="1"/>
  <c r="H254" i="1"/>
  <c r="H255" i="1"/>
  <c r="H257" i="1"/>
  <c r="H258" i="1"/>
  <c r="H259" i="1"/>
  <c r="H260" i="1"/>
  <c r="H262" i="1"/>
  <c r="H264" i="1"/>
  <c r="H265" i="1"/>
  <c r="H267" i="1"/>
  <c r="H268" i="1"/>
  <c r="H269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6" i="1"/>
  <c r="H287" i="1"/>
  <c r="H288" i="1"/>
  <c r="H289" i="1"/>
  <c r="H290" i="1"/>
  <c r="H291" i="1"/>
  <c r="H292" i="1"/>
  <c r="H293" i="1"/>
  <c r="H294" i="1"/>
  <c r="H295" i="1"/>
  <c r="H297" i="1"/>
  <c r="H298" i="1"/>
  <c r="H299" i="1"/>
  <c r="H300" i="1"/>
  <c r="H301" i="1"/>
  <c r="H302" i="1"/>
  <c r="H303" i="1"/>
  <c r="H304" i="1"/>
  <c r="H305" i="1"/>
  <c r="H306" i="1"/>
  <c r="H308" i="1"/>
  <c r="H309" i="1"/>
  <c r="H310" i="1"/>
  <c r="H311" i="1"/>
  <c r="H312" i="1"/>
  <c r="H313" i="1"/>
  <c r="H314" i="1"/>
  <c r="H316" i="1"/>
  <c r="H317" i="1"/>
  <c r="H318" i="1"/>
  <c r="H319" i="1"/>
  <c r="H320" i="1"/>
  <c r="H321" i="1"/>
  <c r="H324" i="1"/>
  <c r="H325" i="1"/>
  <c r="H326" i="1"/>
  <c r="F327" i="1"/>
  <c r="H327" i="1" s="1"/>
  <c r="H328" i="1"/>
  <c r="H329" i="1"/>
  <c r="H330" i="1"/>
  <c r="H331" i="1"/>
  <c r="H332" i="1"/>
  <c r="F334" i="1"/>
  <c r="H334" i="1" s="1"/>
  <c r="F335" i="1"/>
  <c r="H335" i="1" s="1"/>
  <c r="F336" i="1"/>
  <c r="H336" i="1" s="1"/>
  <c r="F337" i="1"/>
  <c r="H337" i="1" s="1"/>
  <c r="H338" i="1"/>
  <c r="H339" i="1"/>
  <c r="H340" i="1"/>
  <c r="H341" i="1"/>
  <c r="H342" i="1"/>
  <c r="H343" i="1"/>
  <c r="H345" i="1"/>
  <c r="H346" i="1"/>
  <c r="H347" i="1"/>
  <c r="F349" i="1"/>
  <c r="H349" i="1" s="1"/>
  <c r="F350" i="1"/>
  <c r="H350" i="1" s="1"/>
  <c r="H351" i="1"/>
  <c r="H352" i="1"/>
  <c r="H353" i="1"/>
  <c r="H354" i="1"/>
  <c r="H355" i="1"/>
  <c r="H356" i="1"/>
  <c r="H358" i="1"/>
  <c r="F360" i="1"/>
  <c r="H362" i="1"/>
  <c r="H363" i="1"/>
  <c r="H364" i="1"/>
  <c r="H365" i="1"/>
  <c r="H366" i="1"/>
  <c r="L9" i="1" l="1"/>
  <c r="M9" i="1" s="1"/>
  <c r="L8" i="1"/>
  <c r="M8" i="1" s="1"/>
  <c r="S357" i="1"/>
  <c r="S349" i="1"/>
  <c r="S348" i="1"/>
  <c r="S347" i="1"/>
  <c r="M347" i="1"/>
  <c r="D347" i="1"/>
  <c r="D346" i="1"/>
  <c r="P332" i="1"/>
  <c r="P331" i="1"/>
  <c r="P330" i="1"/>
  <c r="P329" i="1"/>
  <c r="S328" i="1"/>
  <c r="P328" i="1"/>
  <c r="M328" i="1"/>
  <c r="S327" i="1"/>
  <c r="M324" i="1"/>
  <c r="S326" i="1"/>
  <c r="Q326" i="1"/>
  <c r="R326" i="1" s="1"/>
  <c r="R327" i="1" s="1"/>
  <c r="R328" i="1" s="1"/>
  <c r="P326" i="1"/>
  <c r="N326" i="1"/>
  <c r="M326" i="1"/>
  <c r="L326" i="1"/>
  <c r="S325" i="1"/>
  <c r="P325" i="1"/>
  <c r="N325" i="1"/>
  <c r="M325" i="1"/>
  <c r="L325" i="1"/>
  <c r="P324" i="1"/>
  <c r="N324" i="1"/>
  <c r="L324" i="1"/>
  <c r="J269" i="1"/>
  <c r="J268" i="1"/>
  <c r="J267" i="1"/>
  <c r="J266" i="1"/>
  <c r="J265" i="1"/>
  <c r="J264" i="1"/>
  <c r="J263" i="1"/>
  <c r="J262" i="1"/>
  <c r="J261" i="1"/>
  <c r="J258" i="1"/>
  <c r="J257" i="1"/>
  <c r="J256" i="1"/>
  <c r="J255" i="1"/>
  <c r="J254" i="1"/>
  <c r="J253" i="1"/>
  <c r="J252" i="1"/>
  <c r="J251" i="1"/>
  <c r="J250" i="1"/>
  <c r="J249" i="1"/>
  <c r="J241" i="1"/>
  <c r="J240" i="1"/>
  <c r="J236" i="1"/>
  <c r="J235" i="1"/>
  <c r="J234" i="1"/>
  <c r="J233" i="1"/>
  <c r="N232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L152" i="1"/>
  <c r="L130" i="1"/>
  <c r="M117" i="1"/>
  <c r="N117" i="1" s="1"/>
  <c r="M104" i="1"/>
  <c r="N103" i="1"/>
  <c r="M103" i="1"/>
  <c r="M101" i="1"/>
  <c r="L69" i="1"/>
  <c r="A6" i="1"/>
  <c r="S350" i="1" l="1"/>
  <c r="T350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4" i="1" s="1"/>
  <c r="A25" i="1" s="1"/>
  <c r="A26" i="1" s="1"/>
  <c r="A27" i="1" s="1"/>
  <c r="A28" i="1" s="1"/>
  <c r="A29" i="1" s="1"/>
  <c r="A30" i="1" s="1"/>
  <c r="A31" i="1" s="1"/>
  <c r="A32" i="1" s="1"/>
  <c r="A34" i="1" s="1"/>
  <c r="A35" i="1" s="1"/>
  <c r="A36" i="1" s="1"/>
  <c r="A38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9" i="1" s="1"/>
  <c r="A80" i="1" s="1"/>
  <c r="A82" i="1" s="1"/>
  <c r="A83" i="1" s="1"/>
  <c r="A84" i="1" s="1"/>
  <c r="A85" i="1" s="1"/>
  <c r="A88" i="1" s="1"/>
  <c r="A89" i="1" s="1"/>
  <c r="A90" i="1" s="1"/>
  <c r="A91" i="1" s="1"/>
  <c r="A92" i="1" s="1"/>
  <c r="A93" i="1" s="1"/>
  <c r="A94" i="1" s="1"/>
  <c r="A95" i="1" s="1"/>
  <c r="A98" i="1" s="1"/>
  <c r="A100" i="1" s="1"/>
  <c r="A101" i="1" s="1"/>
  <c r="A102" i="1" s="1"/>
  <c r="A103" i="1" s="1"/>
  <c r="A104" i="1" s="1"/>
  <c r="A105" i="1" s="1"/>
  <c r="A106" i="1" s="1"/>
  <c r="A107" i="1" s="1"/>
  <c r="A108" i="1" s="1"/>
  <c r="A110" i="1" s="1"/>
  <c r="A111" i="1" s="1"/>
  <c r="A112" i="1" s="1"/>
  <c r="A114" i="1" s="1"/>
  <c r="A115" i="1" s="1"/>
  <c r="A116" i="1" s="1"/>
  <c r="A117" i="1" s="1"/>
  <c r="A118" i="1" s="1"/>
  <c r="A119" i="1" s="1"/>
  <c r="A122" i="1" s="1"/>
  <c r="A123" i="1" s="1"/>
  <c r="A124" i="1" s="1"/>
  <c r="A125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50" i="1" s="1"/>
  <c r="A151" i="1" s="1"/>
  <c r="A152" i="1" s="1"/>
  <c r="A153" i="1" s="1"/>
  <c r="A154" i="1" s="1"/>
  <c r="A155" i="1" s="1"/>
  <c r="A156" i="1" s="1"/>
  <c r="A157" i="1" s="1"/>
  <c r="A158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9" i="1" s="1"/>
  <c r="A200" i="1" s="1"/>
  <c r="A202" i="1" s="1"/>
  <c r="A203" i="1" s="1"/>
  <c r="A204" i="1" s="1"/>
  <c r="A205" i="1" s="1"/>
  <c r="A207" i="1" s="1"/>
  <c r="A208" i="1" s="1"/>
  <c r="A209" i="1" s="1"/>
  <c r="A211" i="1" s="1"/>
  <c r="A213" i="1" s="1"/>
  <c r="A215" i="1" s="1"/>
  <c r="A216" i="1" s="1"/>
  <c r="A217" i="1" s="1"/>
  <c r="A218" i="1" s="1"/>
  <c r="A221" i="1" s="1"/>
  <c r="A222" i="1" s="1"/>
  <c r="A223" i="1" s="1"/>
  <c r="A225" i="1" s="1"/>
  <c r="A226" i="1" s="1"/>
  <c r="A227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O326" i="1"/>
  <c r="O325" i="1"/>
  <c r="O324" i="1"/>
  <c r="Q324" i="1"/>
  <c r="R324" i="1" s="1"/>
  <c r="R325" i="1" s="1"/>
  <c r="L327" i="1"/>
  <c r="M327" i="1"/>
  <c r="M329" i="1" s="1"/>
  <c r="P327" i="1"/>
  <c r="A244" i="1" l="1"/>
  <c r="A245" i="1" s="1"/>
  <c r="A246" i="1" s="1"/>
  <c r="A247" i="1" s="1"/>
  <c r="A248" i="1" s="1"/>
  <c r="A251" i="1" s="1"/>
  <c r="A252" i="1" s="1"/>
  <c r="A254" i="1" s="1"/>
  <c r="A255" i="1" s="1"/>
  <c r="A257" i="1" s="1"/>
  <c r="A258" i="1" s="1"/>
  <c r="A259" i="1" s="1"/>
  <c r="A260" i="1" s="1"/>
  <c r="A262" i="1" s="1"/>
  <c r="A264" i="1" s="1"/>
  <c r="A265" i="1" s="1"/>
  <c r="A267" i="1" s="1"/>
  <c r="A268" i="1" s="1"/>
  <c r="A269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8" i="1" s="1"/>
  <c r="A309" i="1" s="1"/>
  <c r="A310" i="1" s="1"/>
  <c r="A311" i="1" s="1"/>
  <c r="A312" i="1" s="1"/>
  <c r="A313" i="1" s="1"/>
  <c r="A314" i="1" s="1"/>
  <c r="A316" i="1" s="1"/>
  <c r="A317" i="1" s="1"/>
  <c r="A318" i="1" s="1"/>
  <c r="A319" i="1" s="1"/>
  <c r="A320" i="1" s="1"/>
  <c r="A321" i="1" s="1"/>
  <c r="A324" i="1" s="1"/>
  <c r="A325" i="1" s="1"/>
  <c r="A326" i="1" l="1"/>
  <c r="A327" i="1" s="1"/>
  <c r="A328" i="1" s="1"/>
  <c r="A329" i="1" s="1"/>
  <c r="A330" i="1" s="1"/>
  <c r="A331" i="1" s="1"/>
  <c r="A332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5" i="1" s="1"/>
  <c r="A346" i="1" s="1"/>
  <c r="A347" i="1" s="1"/>
  <c r="A349" i="1" s="1"/>
  <c r="A350" i="1" s="1"/>
  <c r="A351" i="1" s="1"/>
  <c r="A352" i="1" s="1"/>
  <c r="A353" i="1" s="1"/>
  <c r="A354" i="1" s="1"/>
  <c r="A355" i="1" s="1"/>
  <c r="A356" i="1" s="1"/>
  <c r="A358" i="1" s="1"/>
  <c r="A359" i="1" s="1"/>
  <c r="A362" i="1" s="1"/>
  <c r="A363" i="1" s="1"/>
  <c r="A364" i="1" s="1"/>
  <c r="A365" i="1" s="1"/>
  <c r="A366" i="1" s="1"/>
  <c r="A36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tc={7D3CB093-5E5B-44CE-B3D9-7E929618E0E6}</author>
    <author/>
  </authors>
  <commentList>
    <comment ref="B302" authorId="0" shapeId="0" xr:uid="{00000000-0006-0000-0000-00000100000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1.8 cada sal + 0.5 
</t>
      </text>
    </comment>
    <comment ref="B362" authorId="1" shapeId="0" xr:uid="{00000000-0006-0000-0000-000002000000}">
      <text>
        <r>
          <rPr>
            <sz val="10"/>
            <color rgb="FF000000"/>
            <rFont val="Courier"/>
            <scheme val="minor"/>
          </rPr>
          <t>======
ID#AAABLHVglok
user    (2024-04-09 19:56:27)
Considera 7 puntos la curva base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zlLOeSPtEIVKSUs3v5l1KCOp8NQ=="/>
    </ext>
  </extLst>
</comments>
</file>

<file path=xl/sharedStrings.xml><?xml version="1.0" encoding="utf-8"?>
<sst xmlns="http://schemas.openxmlformats.org/spreadsheetml/2006/main" count="1470" uniqueCount="613">
  <si>
    <t>Códigos</t>
  </si>
  <si>
    <t>Designación</t>
  </si>
  <si>
    <t>Norma o Proced.</t>
  </si>
  <si>
    <t>Peso de Material (kg)</t>
  </si>
  <si>
    <t>Unidad</t>
  </si>
  <si>
    <t>Valor UF 2023</t>
  </si>
  <si>
    <t>Valor UF 2020</t>
  </si>
  <si>
    <t>Diferencia</t>
  </si>
  <si>
    <t>SKU</t>
  </si>
  <si>
    <t>CC</t>
  </si>
  <si>
    <t xml:space="preserve">  ENSAYOS DE LABORATORIO SUELOS</t>
  </si>
  <si>
    <t>I</t>
  </si>
  <si>
    <t>ENSAYOS BASICOS</t>
  </si>
  <si>
    <t>I.1</t>
  </si>
  <si>
    <t>Caracterización de suelos</t>
  </si>
  <si>
    <t>c/u</t>
  </si>
  <si>
    <t>Granulometría (bajo 3" hasta malla 200)</t>
  </si>
  <si>
    <t>Índice de Plasticidad</t>
  </si>
  <si>
    <t>Peso Específico Bajo Nº 4</t>
  </si>
  <si>
    <t>Peso Específico Sobre Nº 4</t>
  </si>
  <si>
    <t>Contenido de Humedad</t>
  </si>
  <si>
    <t>Ensayo acreditado bajo INN LE-304 según norma:
ASTM D2216-19 / NCh 1515.Of79</t>
  </si>
  <si>
    <t>Clasificación USCS o AASTHO (se debe contar con ensayo Granulometria/Limetes de Atterberg/Peso Especifico)</t>
  </si>
  <si>
    <t>---</t>
  </si>
  <si>
    <t>Análisis Hidrométrico, (BOYOUCOS). 
Se requieren los ensayos de granulometría y peso específico.</t>
  </si>
  <si>
    <t>Resistividad Eléctrica (Probetas Cilíndricas), material hasta 3/4 pulgada.</t>
  </si>
  <si>
    <t>c/probeta</t>
  </si>
  <si>
    <t>NCh 1517/3.Of79</t>
  </si>
  <si>
    <t>Peso Unitario (considera muestra inalterada). 
Tamaño mínimo recomendado  de la muestra: 10x10x10 cm.</t>
  </si>
  <si>
    <t>Muestra de 10x10x10 cm.</t>
  </si>
  <si>
    <t>Densidad Máxima y Mínima</t>
  </si>
  <si>
    <t>Ensayo acreditado bajo INN LE-304 según norma:
ASTM D4253-16e1
ASTM D4254-16e1</t>
  </si>
  <si>
    <t>Proctor Modificado</t>
  </si>
  <si>
    <t>Proctor Estandar</t>
  </si>
  <si>
    <t>Capacidad de Soporte Ensaye CBR</t>
  </si>
  <si>
    <t>Determinación de Pesos Húmedo y Contenido de Humedad en muestra de Densidad (cono de arena).</t>
  </si>
  <si>
    <t>Proced. Interno</t>
  </si>
  <si>
    <t>Densidad Máxima y Mínima Japonesa</t>
  </si>
  <si>
    <t>Basado en JSF E 161 – 1988</t>
  </si>
  <si>
    <t>Ensayo de sedimentación (Jar Settling) (relaves)</t>
  </si>
  <si>
    <t>Metodología KCB</t>
  </si>
  <si>
    <t>I.2</t>
  </si>
  <si>
    <t>Macrogranulometrías</t>
  </si>
  <si>
    <t>Macrogranulometría en laboratorio - Máximo 100 kg de muestra.
Nota: No considera lavado de muestra</t>
  </si>
  <si>
    <t>Proc. Interno</t>
  </si>
  <si>
    <t>Macrogranulometría en laboratorio - Máximo 200 kg de muestra.
Nota: No considera lavado de muestra</t>
  </si>
  <si>
    <t>Macrogranulometría en laboratorio - Máximo 1 ton. de muestra.
Nota: No considera lavado de muestra</t>
  </si>
  <si>
    <t>Macrogranulometría en laboratorio a muestra con contenido de ácido- Máximo 100 kg de muestra.
Nota: Cliente debe proporcionar ficha técnica de seguridad</t>
  </si>
  <si>
    <t>Macrogranulometría en laboratorio a muestra con contenido de ácido- Máximo 200 kg de muestra.
Nota: Cliente debe proporcionar ficha técnica de seguridad</t>
  </si>
  <si>
    <t>Macrogranulometría en laboratorio a muestra con contenido de ácido- Máximo 1 ton de muestra.
Nota: Cliente debe proporcionar ficha técnica de seguridad</t>
  </si>
  <si>
    <t xml:space="preserve">Macrogranulometría en laboratorio con lavado de muestra previo al ensayo
Máximo 100 kg de muestra.                                        </t>
  </si>
  <si>
    <t xml:space="preserve">Macrogranulometría en laboratorio con lavado de muestra previo al ensayo
Máximo 200 kg de muestra.                                        </t>
  </si>
  <si>
    <t xml:space="preserve">Macrogranulometría en laboratorio con lavado de muestra previo al ensayo
Máximo 1 ton. de muestra.                                        </t>
  </si>
  <si>
    <t>I.3</t>
  </si>
  <si>
    <t>PREPARACIÓN ESPECIAL DE MUESTRAS</t>
  </si>
  <si>
    <t xml:space="preserve">Preparación y Montaje muestras Slurry 
Considera Montaje Probetas Triaxial 5x10 cm y/o Consolidación edométrica convencional diámetro 5cm. </t>
  </si>
  <si>
    <t>Preparación de muestra natural para ensayos especiales para muestras inalteradas</t>
  </si>
  <si>
    <t>Preparación de muestra natural para ensayos especiales para muestras shelby</t>
  </si>
  <si>
    <t>c/muestra</t>
  </si>
  <si>
    <t>I.4</t>
  </si>
  <si>
    <t>Adicional Muestras con Ácido</t>
  </si>
  <si>
    <t>II</t>
  </si>
  <si>
    <t>ENSAYOS ESPECIALES</t>
  </si>
  <si>
    <t>II.1</t>
  </si>
  <si>
    <t>ENSAYOS DE PERMEABILIDAD</t>
  </si>
  <si>
    <t>II.1.1</t>
  </si>
  <si>
    <t>Ensayos de Permeabilidad de pared rígida</t>
  </si>
  <si>
    <t>Permeabilidad pared rígida, carga variable, molde de 15 cm de diámetro.
Tamaño máximo de partícula: 3/4 pulgada (máx. 5 días hábiles de ejecución).</t>
  </si>
  <si>
    <t>Día adicional para permeabilidad de pared rígida, carga variable, molde de 15 cm de diámetro.</t>
  </si>
  <si>
    <t>día</t>
  </si>
  <si>
    <t>Permeabilidad pared rígida, carga constante, molde de 15 cm de diámetro.
Tamaño máximo de partícula: 3/4 pulgada (máx. 5 días hábiles de ejecución).</t>
  </si>
  <si>
    <t>Día adicional para permeabilidad de pared rígida, carga constante, molde de 15 cm de diámetro.</t>
  </si>
  <si>
    <t>Permeabilidad pared rígida, carga variable, molde 30 cm de diámetro.
Tamaño máximo de partícula: 2 pulgada (máx. 5 días hábiles de ejecución).</t>
  </si>
  <si>
    <t>Día adicional para permeabilidad de pared rígida, carga variable, molde de 30 cm de diámetro.</t>
  </si>
  <si>
    <t>Permeabilidad pared rígida, carga constante, molde de 30 cm de diámetro.
Tamaño máximo de partícula: 2 pulgadas (máx. 5 días hábiles de ejecución).</t>
  </si>
  <si>
    <t>Día adicional para permeabilidad de pared rígida, carga constante, molde de 30 cm de diámetro.</t>
  </si>
  <si>
    <t>Permeabilidad pared rígida, carga constante, molde de 30 cm de diámetro.  Solución Ácida (sujeto a evaluación técnica con ficha de seguridad de la solución).
Tamaño máximo de partícula: 2 pulgadas (máx. 5 días hábiles de ejecución).</t>
  </si>
  <si>
    <t>Día adicional para permeabilidad de pared rígida, carga constante, molde de 30 cm de diámetro. Solución ácida.</t>
  </si>
  <si>
    <t>II.1.2</t>
  </si>
  <si>
    <t>Ensayos de Permeabilidad de pared flexible</t>
  </si>
  <si>
    <t>Día adicional para permeabilidad de pared flexible, carga variable, Probeta 5 x 10 cm.</t>
  </si>
  <si>
    <t>Ensayo de Permeabilidad pared flexible (Equipo Triaxial), carga constante. Probeta 5 x 10 cm. Confinamiento hasta 6 kg/cm2.
Probeta tallada (muestra natural) o probeta remoldeada (muestra perturbada).
Tamaño máximo de partícula: malla N° 4 (máx. 5 días hábiles de ejecución).
Considera 01 confinamiento.</t>
  </si>
  <si>
    <t>Día adicional para permeabilidad de pared flexible, carga constante, Probeta 5 x 10 cm.</t>
  </si>
  <si>
    <t>Día adicional para permeabilidad de pared flexible, carga variable, Probeta 10 x 20 cm.</t>
  </si>
  <si>
    <t>Día adicional para permeabilidad de pared flexible, carga constante, Probeta 10 x 20 cm.</t>
  </si>
  <si>
    <t>Día adicional para permeabilidad de pared flexible, carga variable, Probeta 15 x 30 cm.</t>
  </si>
  <si>
    <t>Día adicional para permeabilidad de pared flexible, carga constante, Probeta 15 x 30 cm.</t>
  </si>
  <si>
    <t>II.1.3</t>
  </si>
  <si>
    <t>Ensayos de Permeabilidad de pared flexible Altas Presiones</t>
  </si>
  <si>
    <t>Ensayo de Permeabilidad pared flexible (Equipo Triaxial), carga variable. Probeta 5 x 10 cm. Confinamiento hasta 28 kg/cm2.
Probeta tallada (muestra natural) o probeta remoldeada (muestra perturbada).
Tamaño máximo de partícula: malla N° 4 (máx. 5 días hábiles de ejecución).
Considera 01 confinamiento.</t>
  </si>
  <si>
    <t>Ensayo de Permeabilidad pared flexible (Equipo Triaxial), carga constante. Probeta 5 x 10 cm. Confinamiento hasta 28 kg/cm2.
Probeta tallada (muestra natural) o probeta remoldeada (muestra perturbada).
Tamaño máximo de partícula: malla N° 4 (máx. 5 días hábiles de ejecución).
Considera 01 confinamiento.</t>
  </si>
  <si>
    <t>Ensayo de Permeabilidad pared flexible (Equipo Triaxial), carga constante. Probeta 10 x 20 cm. Confinamiento hasta 12 kg/cm2.
Probeta tallada (muestra natural) o probeta remoldeada (muestra perturbada).
Tamaño máximo de partícula: 3/4 pulgada (máx. 5 días hábiles de ejecución).
Considera 01 confinamiento.</t>
  </si>
  <si>
    <t>II.2</t>
  </si>
  <si>
    <t xml:space="preserve">ENSAYOS COMPRESION NO CONFINADA </t>
  </si>
  <si>
    <t>Compresión No Confinada, NATURAL (muestra inalterada o no perturbada) o REMOLDEADA (muestra alterada o perturbada). 
Probeta 5,0 x 10,0 cm. Material bajo malla N° 4.</t>
  </si>
  <si>
    <t>Compresión No Confinada NATURAL (muestra inalterada o no perturbada) o REMOLDEADA (muestra alterada o perturbada). 
Probeta 10,0 x 20,0 cm. Material bajo 3/4 pulgada.</t>
  </si>
  <si>
    <t>II.3</t>
  </si>
  <si>
    <t>ENSAYOS DE CORTE DIRECTO</t>
  </si>
  <si>
    <t>Corte Directo en probeta de 5,0 x 5,0 cm. Cargas normales hasta 2,5 kg/cm2. 
Material bajo malla N° 4. Considera máximo 2 días de ejecución.
Nota: Se requiere serie de tres probetas/muestra.</t>
  </si>
  <si>
    <t>Día adicional para ensayo de Corte Directo en probeta de 5,0 x 5,0 cm.</t>
  </si>
  <si>
    <t>Día adicional para ensayo de Corte Directo en probeta de 30,0 x 30,0 cm</t>
  </si>
  <si>
    <t>II.4</t>
  </si>
  <si>
    <t>ENSAYOS DE CONSOLIDACION</t>
  </si>
  <si>
    <t>II.4.1</t>
  </si>
  <si>
    <t>Ensayos de consolidación convencional</t>
  </si>
  <si>
    <r>
      <rPr>
        <sz val="10"/>
        <color theme="1"/>
        <rFont val="Calibri"/>
        <family val="2"/>
      </rPr>
      <t>Consolidación (convencional hasta  4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 ), en molde de 5 cm de diámetro, material bajo malla #10. 
</t>
    </r>
    <r>
      <rPr>
        <u/>
        <sz val="10"/>
        <color theme="1"/>
        <rFont val="Calibri"/>
        <family val="2"/>
      </rPr>
      <t>Consideraciones especiales</t>
    </r>
    <r>
      <rPr>
        <sz val="10"/>
        <color theme="1"/>
        <rFont val="Calibri"/>
        <family val="2"/>
      </rPr>
      <t>:
1- Considera hasta 5 estados de carga y 3 de descarga.
2- Considera un tiempo máximo de ejecución de 15 días hábiles.</t>
    </r>
  </si>
  <si>
    <t>Consolidación (convencional hasta 16 kg/cm2), en molde de 5 cm de diámetro, material bajo malla #10 .Consideraciones especiales:
1- Considera hasta 7 estados de carga y 5 de descarga.
2- Considera un tiempo máximo de ejecución de 15 días hábiles.</t>
  </si>
  <si>
    <r>
      <rPr>
        <sz val="10"/>
        <color theme="1"/>
        <rFont val="Calibri"/>
        <family val="2"/>
      </rPr>
      <t xml:space="preserve">Consolidación (convencional hasta 32 kg/cm2), en molde de 5 cm de diámetro, material bajo malla #10.
</t>
    </r>
    <r>
      <rPr>
        <u/>
        <sz val="10"/>
        <color theme="1"/>
        <rFont val="Calibri"/>
        <family val="2"/>
      </rPr>
      <t>Consideraciones especiales</t>
    </r>
    <r>
      <rPr>
        <sz val="10"/>
        <color theme="1"/>
        <rFont val="Calibri"/>
        <family val="2"/>
      </rPr>
      <t>:
1- Considera hasta 8 estados de carga y 6 de descarga.
2- Considera un tiempo máximo de ejecución de 15 días hábiles.</t>
    </r>
  </si>
  <si>
    <t>Carga adicional para ensayos de consolidación 15 cm</t>
  </si>
  <si>
    <t>c/carga</t>
  </si>
  <si>
    <t>Día adicional al tiempo máximo de ejecución de ensayo de consolidación 15 cm</t>
  </si>
  <si>
    <t>c/día</t>
  </si>
  <si>
    <r>
      <rPr>
        <sz val="10"/>
        <color theme="1"/>
        <rFont val="Calibri"/>
        <family val="2"/>
      </rPr>
      <t>Consolidación Edométrica (hasta 10 kg/cm2), en molde de 20 cm de diámetro, material</t>
    </r>
    <r>
      <rPr>
        <sz val="10"/>
        <color theme="1"/>
        <rFont val="Calibri"/>
        <family val="2"/>
      </rPr>
      <t xml:space="preserve"> hasta 1 1/2 pulgada.
</t>
    </r>
    <r>
      <rPr>
        <u/>
        <sz val="10"/>
        <color theme="1"/>
        <rFont val="Calibri"/>
        <family val="2"/>
      </rPr>
      <t>Consideraciones especiales:</t>
    </r>
    <r>
      <rPr>
        <sz val="10"/>
        <color theme="1"/>
        <rFont val="Calibri"/>
        <family val="2"/>
      </rPr>
      <t xml:space="preserve">
1. Considera hasta 3 estados de carga vertical y 2 descargas.</t>
    </r>
    <r>
      <rPr>
        <sz val="10"/>
        <color theme="1"/>
        <rFont val="Calibri"/>
        <family val="2"/>
      </rPr>
      <t xml:space="preserve">
2. Considera un tiempo máximo de ejecución de 15 días hábiles.</t>
    </r>
  </si>
  <si>
    <t>Carga adicional para ensayos de consolidación 20 cm</t>
  </si>
  <si>
    <t>Día adicional al tiempo máximo de ejecución de ensayo de consolidación 20 cm</t>
  </si>
  <si>
    <t>Ensayos de consolidación con medición de permeabilidad</t>
  </si>
  <si>
    <r>
      <rPr>
        <sz val="10"/>
        <color theme="1"/>
        <rFont val="Calibri"/>
        <family val="2"/>
      </rPr>
      <t>Consolidación Edométrica con medición de permeabilidad (hasta 10 kg/cm2), en molde de 15 cm de diámetro, material</t>
    </r>
    <r>
      <rPr>
        <sz val="10"/>
        <color theme="1"/>
        <rFont val="Calibri"/>
        <family val="2"/>
      </rPr>
      <t xml:space="preserve"> hasta 3/4 pulgada.
</t>
    </r>
    <r>
      <rPr>
        <u/>
        <sz val="10"/>
        <color theme="1"/>
        <rFont val="Calibri"/>
        <family val="2"/>
      </rPr>
      <t>Consideraciones especiales:</t>
    </r>
    <r>
      <rPr>
        <sz val="10"/>
        <color theme="1"/>
        <rFont val="Calibri"/>
        <family val="2"/>
      </rPr>
      <t xml:space="preserve">
1. Considera hasta 3 estados de carga vertical y 2 descargas.</t>
    </r>
    <r>
      <rPr>
        <sz val="10"/>
        <color theme="1"/>
        <rFont val="Calibri"/>
        <family val="2"/>
      </rPr>
      <t xml:space="preserve">
2. Considera un tiempo máximo de ejecución de 15 días hábiles.</t>
    </r>
  </si>
  <si>
    <t>Carga adicional para Ensayo de Consolidación Edométrica con medición de permeabilidad. 15 cm</t>
  </si>
  <si>
    <t>Día adicional al tiempo máximo de ejecución de ensayo de consolidación con medición de permeabilidad 15m</t>
  </si>
  <si>
    <t>Carga adicional para Ensayo de Consolidación Edométrica con medición de permeabilidad.</t>
  </si>
  <si>
    <t>Día adicional al tiempo máximo de ejecución de ensayo de consolidación con medición de permeabilidad</t>
  </si>
  <si>
    <r>
      <rPr>
        <sz val="10"/>
        <color theme="1"/>
        <rFont val="Calibri"/>
        <family val="2"/>
      </rPr>
      <t>Consolidación Edométrica con medición de permeabilidad con material saturado solución ácida (hasta 10 kg/cm2), en molde de 20 cm de diámetro, material</t>
    </r>
    <r>
      <rPr>
        <sz val="10"/>
        <color theme="1"/>
        <rFont val="Calibri"/>
        <family val="2"/>
      </rPr>
      <t xml:space="preserve"> hasta 1 1/2 pulgada.
</t>
    </r>
    <r>
      <rPr>
        <u/>
        <sz val="10"/>
        <color theme="1"/>
        <rFont val="Calibri"/>
        <family val="2"/>
      </rPr>
      <t>Consideraciones especiales:</t>
    </r>
    <r>
      <rPr>
        <sz val="10"/>
        <color theme="1"/>
        <rFont val="Calibri"/>
        <family val="2"/>
      </rPr>
      <t xml:space="preserve">
1. Considera hasta 3 estados de carga vertical y 2 descargas.</t>
    </r>
    <r>
      <rPr>
        <sz val="10"/>
        <color theme="1"/>
        <rFont val="Calibri"/>
        <family val="2"/>
      </rPr>
      <t xml:space="preserve">
2. Considera un tiempo máximo de ejecución de 15 días hábiles.
3. Considera medición de permeabilidad en cada carga.</t>
    </r>
  </si>
  <si>
    <t xml:space="preserve">Carga adicional para Ensayo de Consolidación Edométrica con medición de permeabilidad. Considera material saturado en solución ácida.   </t>
  </si>
  <si>
    <t>Día adicional al tiempo máximo de ejecución de ensayo de consolidación con medición de permeabilidad. Considera material saturado en solución ácida.</t>
  </si>
  <si>
    <t>II.5</t>
  </si>
  <si>
    <t>ENSAYOS DE COLAPSO EN ODÓMETRO</t>
  </si>
  <si>
    <t>Basado en ASTM D4546-21</t>
  </si>
  <si>
    <t>Día adicional al tiempo máximo de ejecución de ensayo de colapso en odómetro.</t>
  </si>
  <si>
    <t>II.6</t>
  </si>
  <si>
    <t>ENSAYOS DE HINCHAMIENTO</t>
  </si>
  <si>
    <t>Hinchamiento Presión (LAMBE)</t>
  </si>
  <si>
    <t>Hinchamiento bajo carga / colapso</t>
  </si>
  <si>
    <t>Basado en ASTM D3877-08</t>
  </si>
  <si>
    <t>Confección de Anillo Especial diametro H o N, para ensayo de Presión de Hinchamiento  en roca intacta.</t>
  </si>
  <si>
    <t>N/A</t>
  </si>
  <si>
    <t>Día adicional de ensayo Hinchamiento Libre</t>
  </si>
  <si>
    <t>II.7</t>
  </si>
  <si>
    <t>ENSAYOS TRIAXIALES</t>
  </si>
  <si>
    <t>II.7.1</t>
  </si>
  <si>
    <t>Ensaye Triaxial UU (convencional).</t>
  </si>
  <si>
    <r>
      <rPr>
        <sz val="10"/>
        <color theme="1"/>
        <rFont val="Calibri"/>
        <family val="2"/>
      </rPr>
      <t>Ensaye Triaxial UU (convencional), probeta  3,6 x 7,2 cm (hasta 6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
Probeta tallada (muestra natural) o probeta remoldeada (muestra perturbada).
Material bajo malla N° 10.
</t>
    </r>
    <r>
      <rPr>
        <i/>
        <sz val="10"/>
        <color theme="1"/>
        <rFont val="Calibri"/>
        <family val="2"/>
      </rPr>
      <t>Nota: Se requiere serie de tres probetas/muestra.</t>
    </r>
  </si>
  <si>
    <r>
      <rPr>
        <sz val="10"/>
        <color theme="1"/>
        <rFont val="Calibri"/>
        <family val="2"/>
      </rPr>
      <t>Ensaye Triaxial UU (convencional), probeta  5,0 x 10,0 cm (hasta 6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
Probeta tallada (muestra natural) o probeta remoldeada (muestra perturbada).
Material bajo malla N° 4.
</t>
    </r>
    <r>
      <rPr>
        <i/>
        <sz val="10"/>
        <color theme="1"/>
        <rFont val="Calibri"/>
        <family val="2"/>
      </rPr>
      <t>Nota: Se requiere serie de tres probetas/muestra.</t>
    </r>
  </si>
  <si>
    <t>II.7.2</t>
  </si>
  <si>
    <t>Ensaye Triaxial CIU. (convencional)</t>
  </si>
  <si>
    <r>
      <rPr>
        <sz val="10"/>
        <color theme="1"/>
        <rFont val="Calibri"/>
        <family val="2"/>
      </rPr>
      <t>Ensaye Triaxial CIU (convencional), probeta  3,6 x 7,2 cm (hasta 6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
Probeta tallada (muestra natural) o probeta remoldeada (muestra perturbada).
Material bajo malla N° 10.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</si>
  <si>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r>
      <rPr>
        <sz val="10"/>
        <color theme="1"/>
        <rFont val="Calibri"/>
        <family val="2"/>
      </rPr>
      <t>Ensaye Triaxial CIU (convencional), probeta  5,0 x 10,0 cm (hasta 6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), con determinación de índice de vacío final.
Material bajo malla N° 4.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</si>
  <si>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t>Día adicional de saturación y/o consolidación para ensayo triaxial CIU en probeta 3,6 x 7,2 cm y 5,0 x 10,0 cm.</t>
  </si>
  <si>
    <t>Hora adicional etapa de corte para ensayo triaxial CIU en probeta 3,6 x 7,2 cm y 5,0 x 10,0 cm.</t>
  </si>
  <si>
    <t>c/hora</t>
  </si>
  <si>
    <t>Día adicional de saturación y/o consolidación para ensayo triaxial CIU en probeta 10,0 x 20,0 cm.</t>
  </si>
  <si>
    <t>Hora adicional etapa de corte para ensayo triaxial CIU en probeta 10,0 x 20,0 cm.</t>
  </si>
  <si>
    <t>Día adicional de saturación y/o consolidación para ensayo triaxial CIU en probeta 15,0 x 30,0 cm.</t>
  </si>
  <si>
    <t>Hora adicional etapa de corte para ensayo triaxial CIU en probeta 15,0 x 30,0 cm.</t>
  </si>
  <si>
    <t>II.7.3</t>
  </si>
  <si>
    <t>Ensayo Triaxial CID (convencional).</t>
  </si>
  <si>
    <r>
      <rPr>
        <sz val="10"/>
        <color theme="1"/>
        <rFont val="Calibri"/>
        <family val="2"/>
      </rPr>
      <t>Ensaye Triaxial CID (convencional), probeta  3,6 x 7,2 cm (hasta 6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
</t>
    </r>
    <r>
      <rPr>
        <i/>
        <sz val="10"/>
        <color theme="1"/>
        <rFont val="Calibri"/>
        <family val="2"/>
      </rPr>
      <t xml:space="preserve">Probeta tallada (muestra natural) o probeta remoldeada (muestra perturbada).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</si>
  <si>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r>
      <rPr>
        <sz val="10"/>
        <color theme="1"/>
        <rFont val="Calibri"/>
        <family val="2"/>
      </rPr>
      <t xml:space="preserve">Ensaye Triaxial CID (convencional), probeta  5,0 x 10,0 cm (hasta 6 kg/cm2)
</t>
    </r>
    <r>
      <rPr>
        <i/>
        <sz val="10"/>
        <color theme="1"/>
        <rFont val="Calibri"/>
        <family val="2"/>
      </rPr>
      <t xml:space="preserve">Probeta tallada (muestra natural) o probeta remoldeada (muestra perturbada).
Material bajo malla N° 4.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</si>
  <si>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t>Día adicional de saturación y/o consolidación para ensayo triaxial CID en probeta 3,6 x 7,2 cm y 5,0 x 10,0 cm.</t>
  </si>
  <si>
    <t>Hora adicional etapa de corte para ensayo triaxial CID en probeta 3,6 x 7,2 cm y 5,0 x 10,0 cm.</t>
  </si>
  <si>
    <t>Día adicional de saturación y/o consolidación para ensayo triaxial CID en probeta 10,0 x 20,0 cm.</t>
  </si>
  <si>
    <t>Hora adicional etapa de corte para ensayo triaxial CID en probeta 10,0 x 20,0 cm.</t>
  </si>
  <si>
    <t>Día adicional de saturación y/o consolidación para ensayo triaxial CID en probeta 15,0 x 30,0 cm.</t>
  </si>
  <si>
    <t>Hora adicional etapa de corte para ensayo triaxial CID en probeta 15,0 x 30,0 cm.</t>
  </si>
  <si>
    <t>II.7.4</t>
  </si>
  <si>
    <t>Ensayos Triaxial CIU, CID, UU de altas presiones</t>
  </si>
  <si>
    <r>
      <rPr>
        <sz val="10"/>
        <color theme="1"/>
        <rFont val="Calibri"/>
        <family val="2"/>
      </rPr>
      <t xml:space="preserve">Triaxial CIU, CID y UU de 5,0 x 10,0 cm (hasta presión de confinamiento de 28 kg/cm2).
Probeta tallada (muestra natural) o probeta remoldeada (muestra perturbada).
Material bajo malla N° 4.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</si>
  <si>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r>
      <rPr>
        <sz val="10"/>
        <color theme="1"/>
        <rFont val="Calibri"/>
        <family val="2"/>
      </rPr>
      <t>Ensaye Triaxial CIU o CID, probeta 10,0 x 20,0 cm (hasta 12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).
Probeta tallada (muestra natural) o probeta remoldeada (muestra perturbada).
Material bajo 3/4 pulgada.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</si>
  <si>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t>Día adicional de saturación y/o consolidación para ensayo triaxial en altas presiones para probetas 3,6 x 7,2 cm y 5,0 x 10,0 cm.</t>
  </si>
  <si>
    <t>Hora adicional etapa de corte para ensayo triaxial en altas presiones para probetas 3,6 x 7,2 cm y 5,0 x 10,0 cm.</t>
  </si>
  <si>
    <t>Día adicional de saturación y/o consolidación para ensayo triaxial en altas presiones para probeta 10,0 x 20,0 cm.</t>
  </si>
  <si>
    <t>Hora adicional etapa de corte para ensayo triaxialen altas presiones para probeta 10,0 x 20,0 cm.</t>
  </si>
  <si>
    <t>Día adicional de saturación y/o consolidación para ensayo triaxial en altas presiones para probeta 15,0 x 30,0 cm.</t>
  </si>
  <si>
    <t>Hora adicional etapa de corte para ensayo triaxial en altas presiones para probeta 15,0 x 30,0 cm.</t>
  </si>
  <si>
    <t>II.7.5</t>
  </si>
  <si>
    <t>Ensayos Triaxial CIU, CID, UU Bordes Lubricados</t>
  </si>
  <si>
    <r>
      <rPr>
        <sz val="10"/>
        <color theme="1"/>
        <rFont val="Calibri"/>
        <family val="2"/>
      </rPr>
      <t>Triaxial CIU, CID y UU de 5,0 x 10,0 cm (hasta presión de confinamiento de 6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).
Probeta tallada (muestra natural) o probeta remoldeada (muestra perturbada).
Material bajo malla N° 4. con metodología de Bordes Lubricados (considera caps con sobreancho)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</si>
  <si>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r>
      <rPr>
        <sz val="10"/>
        <color theme="1"/>
        <rFont val="Calibri"/>
        <family val="2"/>
      </rPr>
      <t>Ensaye Triaxial CIU, CID y UU, probeta 10,0 x 20,0 cm (hasta 6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).
Probeta tallada (muestra natural) o probeta remoldeada (muestra perturbada).
Material bajo 3/4 pulgada.  Metodología de Bordes Lubricados (considera caps con sobreancho)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</si>
  <si>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r>
      <rPr>
        <sz val="10"/>
        <color theme="1"/>
        <rFont val="Calibri"/>
        <family val="2"/>
      </rPr>
      <t>Ensaye Triaxial CIU, CID y UU, probeta 15,0 x 30,0 cm (hasta 6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).
Probeta tallada (muestra natural) o probeta remoldeada (muestra perturbada).
Material bajo 1 1/2 pulgada.  Metodología de Bordes Lubricados (considera caps con sobreancho)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</si>
  <si>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r>
      <rPr>
        <sz val="10"/>
        <color theme="1"/>
        <rFont val="Calibri"/>
        <family val="2"/>
      </rPr>
      <t>Triaxial CIU, CID y UU de 5,0 x 10,0 cm (hasta presión de confinamiento de 30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).
Probeta tallada (muestra natural) o probeta remoldeada (muestra perturbada).
Material bajo malla N° 4. Metodología de Bordes Lubricados (considera caps con sobreancho)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</si>
  <si>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r>
      <rPr>
        <sz val="10"/>
        <color theme="1"/>
        <rFont val="Calibri"/>
        <family val="2"/>
      </rPr>
      <t>Ensaye Triaxial CIU o CID, probeta 10,0 x 20,0 cm (hasta 12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).
Probeta tallada (muestra natural) o probeta remoldeada (muestra perturbada).
Material bajo 3/4 pulgada. Metodología de Bordes Lubricados (considera caps con sobreancho)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</si>
  <si>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r>
      <rPr>
        <sz val="10"/>
        <color theme="1"/>
        <rFont val="Calibri"/>
        <family val="2"/>
      </rPr>
      <t>Ensaye Triaxial CIU o CID, probeta 15,0 x 30,0 cm (hasta 9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).
Probeta tallada (muestra natural) o probeta remoldeada (muestra perturbada).
Material bajo 1 1/2 pulgada. Metodología de Bordes Lubricados (considera caps con sobreancho)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</si>
  <si>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t>Día adicional de saturación y/o consolidación para ensayo triaxial bordes lubricados para probeta 5,0 x 10,0 cm.</t>
  </si>
  <si>
    <t>Hora adicional etapa de corte para ensayo triaxial bordes lubricados para probeta 5,0 x 10,0 cm.</t>
  </si>
  <si>
    <t>Día adicional de saturación y/o consolidación para ensayo triaxial bordes lubricados para probeta 10,0 x 20,0 cm.</t>
  </si>
  <si>
    <t>Hora adicional etapa de corte para ensayo triaxial bordes lubricados para probeta 10,0 x 20,0 cm.</t>
  </si>
  <si>
    <t>Día adicional de saturación y/o consolidación para ensayo triaxial bordes lubricados para probeta 15,0 x 30,0 cm.</t>
  </si>
  <si>
    <t>Hora adicional etapa de corte para ensayo triaxial bordes lubricados para probeta 15,0 x 30,0 cm.</t>
  </si>
  <si>
    <t>VII.6</t>
  </si>
  <si>
    <t>Hora Adicional equipos triaxiales</t>
  </si>
  <si>
    <t xml:space="preserve">Hora adicional triaxial CIU/CID/UU probeta de 5 x 10 cm y probeta de 3,6 x 7,2 cm (hasta 6kg/cm2)
Considera equipo y técnico especialista geotécnico 
Horario Diurno Lunes a Viernes 8:00 a 20:00 horas </t>
  </si>
  <si>
    <t>HH</t>
  </si>
  <si>
    <t xml:space="preserve">Hora adicional triaxial CIU/CID/UU probeta de 5,0 x 10,0 cm y probeta de 3,6 x 7,2 cm (hasta 6kg/cm2)
Considera equipo y técnico especialista geotécnico 
Horario Nocturno y fines de semana </t>
  </si>
  <si>
    <t xml:space="preserve">Hora adicional triaxial CIU/CID/UU probeta de 10,0 x 20,0 cm (hasta 6kg/cm2)
Considera equipo y técnico especialista geotécnico 
Horario Diurno Lunes a Viernes 8:00 a 20:00 horas </t>
  </si>
  <si>
    <t xml:space="preserve">Hora adicional triaxial CIU/CID/UU probeta de 10,0 x 20,0 cm (hasta 6kg/cm2)
Considera equipo y técnico especialista geotécnico 
Horario Nocturno y fines de semana </t>
  </si>
  <si>
    <t xml:space="preserve">Hora adicional triaxial CIU/CID/UU probeta de 15,0 x 30,0 cm (hasta 6kg/cm2)
Considera equipo y técnico especialista geotécnico 
Horario Diurno Lunes a Viernes 8:00 a 20:00 horas </t>
  </si>
  <si>
    <t xml:space="preserve">Hora adicional triaxial CIU/CID/UU probeta de 15,0 x 30,0 cm (hasta 6kg/cm2)
Considera equipo y técnico especialista geotécnico 
Horario Nocturno y fines de semana </t>
  </si>
  <si>
    <t xml:space="preserve">Hora adicional triaxial CIU/CID/UU probeta de 5 x 10 cm y probeta de 3,6 x 7,2 cm (hasta 28kg/cm2)
Considera equipo y técnico especialista geotécnico 
Horario Diurno Lunes a Viernes 8:00 a 20:00 horas </t>
  </si>
  <si>
    <t xml:space="preserve">Hora adicional triaxial CIU/CID/UU probeta de 5,0 x 10,0 cm y probeta de 3,6 x 7,2 cm (hasta 28kg/cm2)
Considera equipo y técnico especialista geotécnico 
Horario Nocturno y fines de semana </t>
  </si>
  <si>
    <t xml:space="preserve">Hora adicional triaxial CIU/CID/UU probeta de 10,0 x 20,0 cm (hasta 12kg/cm2)
Considera equipo y técnico especialista geotécnico 
Horario Diurno Lunes a Viernes 8:00 a 20:00 horas </t>
  </si>
  <si>
    <t xml:space="preserve">Hora adicional triaxial CIU/CID/UU probeta de 10,0 x 20,0 cm (hasta 12kg/cm2)
Considera equipo y técnico especialista geotécnico 
Horario Nocturno y fines de semana </t>
  </si>
  <si>
    <t xml:space="preserve">Hora adicional triaxial CIU/CID/UU probeta de 15,0 x 30,0 cm (hasta 9kg/cm2)
Considera equipo y técnico especialista geotécnico 
Horario Diurno Lunes a Viernes 8:00 a 20:00 horas </t>
  </si>
  <si>
    <t xml:space="preserve">Hora adicional triaxial CIU/CID/UU probeta de 15,0 x 30,0 cm (hasta 9kg/cm2)
Considera equipo y técnico especialista geotécnico 
Horario Nocturno y fines de semana </t>
  </si>
  <si>
    <t>II.7.6</t>
  </si>
  <si>
    <t>Ensayo Triaxial Cíclico (Convencional)</t>
  </si>
  <si>
    <r>
      <rPr>
        <sz val="10"/>
        <color theme="1"/>
        <rFont val="Calibri"/>
        <family val="2"/>
      </rPr>
      <t xml:space="preserve">Triaxial Cíclico probeta de 5 x 10 cm, Consolidado Isotrópicamente No Drenado(hasta 28 kg/cm2 de confinamiento).
</t>
    </r>
    <r>
      <rPr>
        <i/>
        <sz val="10"/>
        <color theme="1"/>
        <rFont val="Calibri"/>
        <family val="2"/>
      </rPr>
      <t xml:space="preserve">Probeta tallada (muestra natural) o probeta remoldeada (muestra perturbada).
Material bajo malla N° 4.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probetas/confinamiento/muestra.
Para cada probeta se considera una razón de corte (Rc) distinta.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 xml:space="preserve">: Tiempo de ejecución de ensayos considera 3 días hábiles (2 días de saturación y consolidación y 3ª día etapa de cicleo hasta máximo 300 ciclos). </t>
    </r>
  </si>
  <si>
    <r>
      <rPr>
        <sz val="10"/>
        <color theme="1"/>
        <rFont val="Calibri"/>
        <family val="2"/>
      </rPr>
      <t xml:space="preserve">Triaxial Cíclico probeta de 5 x 10 cm, Consolidado Anisotrópicamente No Drenado (hasta 5 kg/cm2 de confinamiento).
</t>
    </r>
    <r>
      <rPr>
        <i/>
        <sz val="10"/>
        <color theme="1"/>
        <rFont val="Calibri"/>
        <family val="2"/>
      </rPr>
      <t xml:space="preserve">Probeta tallada (muestra natural) o probeta remoldeada (muestra perturbada).
Material bajo malla N° 4.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probetas/confinamiento/muestra.
Para cada probeta se considera una razón de corte (Rc) distinta.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 xml:space="preserve">: Tiempo de ejecución de ensayos considera 3 días hábiles (2 días de saturación y consolidación y 3ª día etapa de cicleo hasta máximo 300 ciclos). </t>
    </r>
  </si>
  <si>
    <r>
      <rPr>
        <sz val="10"/>
        <color theme="1"/>
        <rFont val="Calibri"/>
        <family val="2"/>
      </rPr>
      <t xml:space="preserve">Triaxial Cíclico probeta de 5 x 10 cm, Consolidado Anisotrópicamente No Drenado (hasta 28 kg/cm2 de confinamiento).
</t>
    </r>
    <r>
      <rPr>
        <i/>
        <sz val="10"/>
        <color theme="1"/>
        <rFont val="Calibri"/>
        <family val="2"/>
      </rPr>
      <t xml:space="preserve">Probeta tallada (muestra natural) o probeta remoldeada (muestra perturbada).
Material bajo malla N° 4.
Nota 1: Se requiere serie de tres probetas/confinamiento/muestra.
Para cada probeta se considera una razón de corte (Rc) distinta.
Nota 2: Tiempo de ejecución de ensayos considera 3 días hábiles (2 días de saturación y consolidación y 3ª día etapa de cicleo hasta máximo 300 ciclos). </t>
    </r>
  </si>
  <si>
    <r>
      <rPr>
        <sz val="10"/>
        <color theme="1"/>
        <rFont val="Calibri"/>
        <family val="2"/>
      </rPr>
      <t xml:space="preserve">Triaxial Cíclico probeta de 5 x 10 cm, Consolidado Isotrópicamente No Drenado (hasta 5 kg/cm2 de confinamiento) y Post Cíclico a carga controlada.
</t>
    </r>
    <r>
      <rPr>
        <i/>
        <sz val="10"/>
        <color theme="1"/>
        <rFont val="Calibri"/>
        <family val="2"/>
      </rPr>
      <t xml:space="preserve">Probeta tallada (muestra natural) o probeta remoldeada (muestra perturbada).
Material bajo malla N° 4.
</t>
    </r>
    <r>
      <rPr>
        <i/>
        <u/>
        <sz val="10"/>
        <color theme="1"/>
        <rFont val="Calibri"/>
        <family val="2"/>
      </rPr>
      <t>Nota 1:</t>
    </r>
    <r>
      <rPr>
        <i/>
        <sz val="10"/>
        <color theme="1"/>
        <rFont val="Calibri"/>
        <family val="2"/>
      </rPr>
      <t xml:space="preserve"> Se requiere serie de tres probetas/confinamiento/muestra.
Para cada probeta se considera una razón de corte (Rc) distinta.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 xml:space="preserve">: Tiempo de ejecución de ensayos considera 3 días hábiles (2 días de saturación y consolidación y 3ª día etapa de cicleo hasta máximo 300 ciclos y ensayo post-cíclico). </t>
    </r>
  </si>
  <si>
    <r>
      <rPr>
        <sz val="10"/>
        <color theme="1"/>
        <rFont val="Calibri"/>
        <family val="2"/>
      </rPr>
      <t xml:space="preserve">Triaxial Cíclico probeta de 5 x 10 cm, Consolidado Anisotrópicamente No Drenado (hasta 28 kg/cm2 de confinamiento) y Post Cíclico a carga controlada.
</t>
    </r>
    <r>
      <rPr>
        <i/>
        <sz val="10"/>
        <color theme="1"/>
        <rFont val="Calibri"/>
        <family val="2"/>
      </rPr>
      <t xml:space="preserve">Probeta tallada (muestra natural) o probeta remoldeada (muestra perturbada).
Material bajo malla N° 4.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probetas/confinamiento/muestra.
Para cada probeta se considera una razón de corte (Rc) distinta.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 xml:space="preserve">: Tiempo de ejecución de ensayos considera 3 días hábiles (2 días de saturación y consolidación y 3ª día etapa de cicleo hasta máximo 300 ciclos y ensayo post-cíclico). </t>
    </r>
  </si>
  <si>
    <t>Día adicional de saturación y/o consolidación para ensayo triaxial cíclico para probeta 5,0 x 10,0 cm.</t>
  </si>
  <si>
    <t>Hora adicional etapa de corte para ensayo triaxial cíclico para probeta 5,0 x 10,0 cm.</t>
  </si>
  <si>
    <t>Día adicional de saturación y/o consolidación para ensayo triaxial cíclico para probeta 10,0 x 20,0 cm.</t>
  </si>
  <si>
    <t>Hora adicional etapa de corte para ensayo triaxial cíclico para probeta 10,0 x 20,0 cm.</t>
  </si>
  <si>
    <t>Día adicional de saturación y/o consolidación para ensayo triaxial cíclico para probeta 15,0 x 30,0 cm.</t>
  </si>
  <si>
    <t>Hora adicional etapa de corte para ensayo triaxial cíclico para probeta 15,0 x 30,0 cm.</t>
  </si>
  <si>
    <t>II.7.7</t>
  </si>
  <si>
    <t>Ensayo Triaxial Cíclico a pequeñas deformaciones</t>
  </si>
  <si>
    <r>
      <rPr>
        <sz val="10"/>
        <color theme="1"/>
        <rFont val="Calibri"/>
        <family val="2"/>
      </rPr>
      <t>Ensayo triaxial cíclico a pequeñas deformaciones.
Considera 1 confinamiento hasta 7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.
</t>
    </r>
    <r>
      <rPr>
        <u/>
        <sz val="10"/>
        <color theme="1"/>
        <rFont val="Calibri"/>
        <family val="2"/>
      </rPr>
      <t>Nota</t>
    </r>
    <r>
      <rPr>
        <sz val="10"/>
        <color theme="1"/>
        <rFont val="Calibri"/>
        <family val="2"/>
      </rPr>
      <t>: Tiempo de ejecución de ensayos considera 3 días hábiles (2 días de saturación y consolidación). El nivel de deformación mínimo es de 10</t>
    </r>
    <r>
      <rPr>
        <vertAlign val="superscript"/>
        <sz val="10"/>
        <color theme="1"/>
        <rFont val="Calibri"/>
        <family val="2"/>
      </rPr>
      <t>-4</t>
    </r>
    <r>
      <rPr>
        <sz val="10"/>
        <color theme="1"/>
        <rFont val="Calibri"/>
        <family val="2"/>
      </rPr>
      <t>.</t>
    </r>
  </si>
  <si>
    <t>ASTM D3999-11e1</t>
  </si>
  <si>
    <t>Día adicional de saturación y/o consolidación para ensayo triaxial cíclico a pequeñas deformaciones.</t>
  </si>
  <si>
    <t>II.8</t>
  </si>
  <si>
    <t>ENSAYO BENDER</t>
  </si>
  <si>
    <r>
      <rPr>
        <sz val="10"/>
        <color theme="1"/>
        <rFont val="Calibri"/>
        <family val="2"/>
      </rPr>
      <t xml:space="preserve">Bender Element (probeta 5 x 10 cm) con una presión de confinamiento. Tamaño máximo de partícula malla Nº 4.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>: Tiempo de ejecución de ensayos considera 2 días hábiles (1 día de saturación y 1 día de ensayo).</t>
    </r>
  </si>
  <si>
    <t>Día adicional de saturación y/o consolidación para ensayo Bender Element</t>
  </si>
  <si>
    <t>Presión de confinamiento adicional para ensayo Bender Element</t>
  </si>
  <si>
    <t>II.9</t>
  </si>
  <si>
    <t>ENSAYO COLUMNA RESONANTE</t>
  </si>
  <si>
    <r>
      <rPr>
        <sz val="10"/>
        <color theme="1"/>
        <rFont val="Calibri"/>
        <family val="2"/>
      </rPr>
      <t>Columna Resonante.
Considera 1 confinamiento hasta 9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.
</t>
    </r>
    <r>
      <rPr>
        <i/>
        <u/>
        <sz val="10"/>
        <color theme="1"/>
        <rFont val="Calibri"/>
        <family val="2"/>
      </rPr>
      <t>Nota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1 día de ensayo). Considera hasta 10 ciclos. El nivel de deformación máximo es de 10</t>
    </r>
    <r>
      <rPr>
        <i/>
        <vertAlign val="superscript"/>
        <sz val="10"/>
        <color theme="1"/>
        <rFont val="Calibri"/>
        <family val="2"/>
      </rPr>
      <t>-3</t>
    </r>
    <r>
      <rPr>
        <i/>
        <sz val="10"/>
        <color theme="1"/>
        <rFont val="Calibri"/>
        <family val="2"/>
      </rPr>
      <t xml:space="preserve"> y dependerá del tipo de suelo.</t>
    </r>
  </si>
  <si>
    <t>Día adicional de saturación y/o consolidación para ensayo Columna Resonante</t>
  </si>
  <si>
    <t>Confinamiento adicional para ensayo de columna resonante</t>
  </si>
  <si>
    <t>c/confinamiento</t>
  </si>
  <si>
    <t>II.10</t>
  </si>
  <si>
    <t>ENSAYO RESISTIVIDAD TÉRMICA</t>
  </si>
  <si>
    <t>Resistividad Térmica. Incluye Conductividad Térmica, Capacidad Calor Especifico y difusividad Térmica. Considera medición a una (01) humedad y/o densidad determinada.</t>
  </si>
  <si>
    <t>II.11</t>
  </si>
  <si>
    <t>ENSAYO PINHOLE</t>
  </si>
  <si>
    <t>Ensaye Pin Hole (material bajo malla #10).</t>
  </si>
  <si>
    <t>II.12</t>
  </si>
  <si>
    <t>ENSAYOS GEOMEMBRANA</t>
  </si>
  <si>
    <t>Corte Directo Interfaz Suelo-Geomembrana. Caja de Corte 30x30 cm. 
Tensión vertical máxima 6 kg/cm2 (ensayo no permite medición de deformación vertical en etapa de consolidación)
Tamaño máximo de partícula 1 1/2"</t>
  </si>
  <si>
    <t>ASTM D5321/5321M-21</t>
  </si>
  <si>
    <t>60 kg fund
60 kg cover</t>
  </si>
  <si>
    <t xml:space="preserve">Día adicional para ensayo de Corte Directo Interfaz Suelo-Geomembrana. Caja de Corte 30x30 cm. </t>
  </si>
  <si>
    <t>Punzonamiento Geo-membrana (Molde 60 cm diámetro)ante carga de suelo. 
Descripción cualitativa. Carga máxima hasta 25 kg/cm2.
Tamaño máximo de partícula 3".
Cliente debe enviar geomembrana en círculos de 60cm de diámetro.</t>
  </si>
  <si>
    <t>15 cm de fundación
25 cm de cover
120 kg fund y 200 kg cover</t>
  </si>
  <si>
    <t>90 kg fund y 90 kg cover</t>
  </si>
  <si>
    <t>III</t>
  </si>
  <si>
    <t>ENSAYOS ROCAS</t>
  </si>
  <si>
    <t>III.1</t>
  </si>
  <si>
    <t>Caracterización de rocas</t>
  </si>
  <si>
    <t>Determinación de Propiedades Físicas (Incluye Humedad, Porosidad, Densidad y Absorción).</t>
  </si>
  <si>
    <t>gl.</t>
  </si>
  <si>
    <t>Peso Unitario en Rocas</t>
  </si>
  <si>
    <t>Velocidad de Ondas, Vs y Vp</t>
  </si>
  <si>
    <t>Basado en ASTM D2845-08</t>
  </si>
  <si>
    <t>III.2</t>
  </si>
  <si>
    <t>PREPARACIÓN MUESTRA</t>
  </si>
  <si>
    <t>Extracción de testigos de roca</t>
  </si>
  <si>
    <t>c/testigo</t>
  </si>
  <si>
    <t>Preparación de probetas (corte y refrentado).</t>
  </si>
  <si>
    <t>Preparación de Corte Transparente o Pulido. Sólo preparación, no incluye descripción.</t>
  </si>
  <si>
    <t>III.3</t>
  </si>
  <si>
    <t>DESCRIPCIÓN FÍSICA Y MINERALÓGICA</t>
  </si>
  <si>
    <t>Análisis Mineralógico Macroscópico.</t>
  </si>
  <si>
    <t>Análisis Mineralógico Microscópico (no incluye preparación de corte transparente).</t>
  </si>
  <si>
    <t>Determinación Dureza MOHS  (Incluye mineralogía y preparación de corte transparente).</t>
  </si>
  <si>
    <t>Difracción de Rayos X (cualitativo)</t>
  </si>
  <si>
    <t>Chancado de material (1,5 kg) para ensayo de difracción de rayos X con cuantificación</t>
  </si>
  <si>
    <t>Chancado de material (1,0 kg) para ensayo de difracción de rayos X con cuantificación</t>
  </si>
  <si>
    <t>Chancado de material (0,5 kg) para ensayo de difracción de rayos X con cuantificación</t>
  </si>
  <si>
    <t>Chancado de material (1,5 kg)</t>
  </si>
  <si>
    <t>c/kilo</t>
  </si>
  <si>
    <t>Chancado de material (1,0 kg)</t>
  </si>
  <si>
    <t>Determinación de Minerales Pesados mediante FRX (muestra sólida o bajo malla #200)</t>
  </si>
  <si>
    <t>Análisis Granulométrico Difracción Laser (Partículas desde 0.02µm hasta 2000µm)</t>
  </si>
  <si>
    <t>Ensayo de Erosionabilidad (Jar Slake)</t>
  </si>
  <si>
    <t>Proced. Interno
(LANDSLIDES: INVESTIGATION AND MITIGATION. CHAPTER 21 - SHALES AND OTHER DEGRADABLE MATERIALS, 1996)</t>
  </si>
  <si>
    <t>Determinación Índice Schimazek
Considera:
- Ensayo Tracción indirecta, método brasileño.
- Preparación de corte transparente y análisis mineralógico microscópico (incluye determinación de contenido de cuarzo equivalente a minerales abrasivos).
- Determinación Índice de abrasividad Schimazek.</t>
  </si>
  <si>
    <t>Preparación de muestra grado 1 para desgaste de los Ángeles</t>
  </si>
  <si>
    <t>Petrografía de áridos  (incluye fracción gruesa de 3/8"a 2"  y fracción fina de malla N°200 a Malla N°4). Considera petrografía y preparación de 6 cortes transparentes para la fracción fina.</t>
  </si>
  <si>
    <t>Norma: ASTM C295/C295M − 19EN 932-3</t>
  </si>
  <si>
    <t>Petrografía en áridos - Fracción gruesa (3/8" - 2")</t>
  </si>
  <si>
    <t>Norma: ASTM C295/C295M − 19EN 932-4</t>
  </si>
  <si>
    <t>Petrografía en áridos - Fracción fina (Malla N°200 - Malla N°4) / Considera petrografía y preparación de 6 cortes transparentes</t>
  </si>
  <si>
    <t>Norma: ASTM C295/C295M − 19EN 932-5</t>
  </si>
  <si>
    <t>III.4</t>
  </si>
  <si>
    <t>ENSAYOS DE RESISTENCIA (DESTRUCTIVOS)</t>
  </si>
  <si>
    <t>III.4.1</t>
  </si>
  <si>
    <t>Compresión Uniaxial</t>
  </si>
  <si>
    <t>Ensaye Compresión Simple en Roca
Incluye Preparación de probetas (corte y refrentado).</t>
  </si>
  <si>
    <t>Ensaye Compresión Simple con medición de deformación axial y deformación transversal.
Incluye Preparación de probetas (corte y refrentado).</t>
  </si>
  <si>
    <t>III.4.2</t>
  </si>
  <si>
    <t>Carga Puntual</t>
  </si>
  <si>
    <t>Ensaye Carga Puntual (POINT LOAD TEST) en muestras de colpas .</t>
  </si>
  <si>
    <t>Ensaye Carga Puntual (POINT LOAD TEST) en 3 segmentos de un testigo de sondaje.</t>
  </si>
  <si>
    <t>III.4.3</t>
  </si>
  <si>
    <t>Compresión Triaxial</t>
  </si>
  <si>
    <t>Triaxial sin medición de deformación - Probetas en diámetro HQ
Incluye Preparación de probetas (corte y refrentado).</t>
  </si>
  <si>
    <t>Triaxial con medición de deformación axial y deformación transversal - Probetas en diámetro HQ.
Incluye Preparación de probetas (corte y refrentado).</t>
  </si>
  <si>
    <t>Triaxial en roca - sin medición de deformación - Probetas en diámetro PQ (83mm)
Incluye Preparación de probetas (corte y refrentado).</t>
  </si>
  <si>
    <t>Triaxial en roca - con medición de deformación axial y deformación transversal - Probetas en diámetro PQ (83mm)
Incluye Preparación de probetas (corte y refrentado).</t>
  </si>
  <si>
    <t>III.4.4</t>
  </si>
  <si>
    <t>Corte Directo</t>
  </si>
  <si>
    <t>Basado en ASTM D5607-08</t>
  </si>
  <si>
    <t>serie 3 puntos</t>
  </si>
  <si>
    <t>III.4.5</t>
  </si>
  <si>
    <t>Tracción</t>
  </si>
  <si>
    <t>Ensaye Tracción Indirecta, Método Brasileño (3 discos).</t>
  </si>
  <si>
    <t>Basado en ASTM D3967-08</t>
  </si>
  <si>
    <t>Ensaye Tracción Directa</t>
  </si>
  <si>
    <t>Basado en ASTM D2936-08</t>
  </si>
  <si>
    <t>III.4.6</t>
  </si>
  <si>
    <t>Desgaste</t>
  </si>
  <si>
    <t>Ensaye de Desgaste, SLAKE DURABILITY.</t>
  </si>
  <si>
    <t>Basado en ASTM D4644-08</t>
  </si>
  <si>
    <t>Ensaye de Abrasividad, Método CERCHAR (CAI Index).</t>
  </si>
  <si>
    <t>Fragmentación por saturación de Etilenglicol. 
Descripción Visual a 0-1-5-10-15-20-30 días.</t>
  </si>
  <si>
    <t>IV</t>
  </si>
  <si>
    <t>ENSAYOS ÁRIDOS (DHI)</t>
  </si>
  <si>
    <t>IV.1</t>
  </si>
  <si>
    <t>Ensayos físicos de áridos</t>
  </si>
  <si>
    <t>(c) Granulometría áridos gruesos o finos</t>
  </si>
  <si>
    <t>DHI</t>
  </si>
  <si>
    <t>(c) Finos por lavado menor a 0,080 mm, áridos gruesos o finos.</t>
  </si>
  <si>
    <t>Ensayo acreditado bajo INN LE-304 según norma:
NCh 1223 Of.77</t>
  </si>
  <si>
    <t xml:space="preserve">(c) Densidades reales (seca, sss y neta) y absorción, áridos gruesos  </t>
  </si>
  <si>
    <t xml:space="preserve">(c) Densidades reales (seca, sss y neta) y absorción, áridos finos  </t>
  </si>
  <si>
    <t xml:space="preserve">(c) Densidades aparentes (suelta y compactada), áridos gruesos o finos.  </t>
  </si>
  <si>
    <t>(c) Resistencia al desgaste - Método de Los Ángeles, áridos gruesos</t>
  </si>
  <si>
    <t>Ensayo acreditado bajo INN LE-304 según norma:
NCh.1369-2010</t>
  </si>
  <si>
    <t>(c) Determinación de partículas desmenuzables, áridos gruesos o finos</t>
  </si>
  <si>
    <t>(c) Determinación del Coeficiente Volumétrico Medio, áridos gruesos.</t>
  </si>
  <si>
    <t>(c) Determinación de la Cubicidad de las partículas - chancado, rodado y laja, áridos gruesos.</t>
  </si>
  <si>
    <t>Ensayo acreditado bajo INN LE-304 según norma:
Método 8.202.6 / Junio 2009 / Manual de Carreteras V.8</t>
  </si>
  <si>
    <t>Resistencia a la Desintegración - Método de los Sulfatos, áridos gruesos o finos</t>
  </si>
  <si>
    <t>NCh.1328 of.1977</t>
  </si>
  <si>
    <t>Determinación de Impurezas Orgánicas (árido fino)</t>
  </si>
  <si>
    <t>Determinación del Índice de Trituración (tenacidad), para áridos gruesos, por compresión confinada o para áridos finos por impacto confinado.</t>
  </si>
  <si>
    <t xml:space="preserve">Manual de Carreteras Vol. 8 (MC 8.202.8) </t>
  </si>
  <si>
    <t>Equivalente de Arena</t>
  </si>
  <si>
    <t>IV.2</t>
  </si>
  <si>
    <t>Ensayos químicos de áridos</t>
  </si>
  <si>
    <t>Determinación del Contenido de Cloruros (como Cl-) en áridos + Lixiviación</t>
  </si>
  <si>
    <t>Determinación del Contenido de Sulfatos solubles al agua + Lixiviación</t>
  </si>
  <si>
    <r>
      <rPr>
        <sz val="10"/>
        <color theme="1"/>
        <rFont val="Calibri"/>
        <family val="2"/>
      </rPr>
      <t>Determinación del Contenido de Sulfuros (como SO</t>
    </r>
    <r>
      <rPr>
        <vertAlign val="subscript"/>
        <sz val="10"/>
        <color theme="1"/>
        <rFont val="Calibri"/>
        <family val="2"/>
      </rPr>
      <t>4</t>
    </r>
    <r>
      <rPr>
        <sz val="10"/>
        <color theme="1"/>
        <rFont val="Calibri"/>
        <family val="2"/>
      </rPr>
      <t>) + Lixiviación</t>
    </r>
  </si>
  <si>
    <t>Desintegración Método de los Sulfatos</t>
  </si>
  <si>
    <t>NCh.1328</t>
  </si>
  <si>
    <t>Determinación de Carbonatos en Cal</t>
  </si>
  <si>
    <t>Determinación de las Impurezas orgánicas en suelos y áridos</t>
  </si>
  <si>
    <t>Determinación del contenido de carbón y lignito</t>
  </si>
  <si>
    <t>Ensayo azul de metileno</t>
  </si>
  <si>
    <t>Reactividad Álcalis Potencial, método químico</t>
  </si>
  <si>
    <t>ASTM C 289-07</t>
  </si>
  <si>
    <t xml:space="preserve">Sales Solubles Totales + Lixiviación </t>
  </si>
  <si>
    <t>IV.3</t>
  </si>
  <si>
    <t>Ensayos químicos de suelos</t>
  </si>
  <si>
    <t>Sales Solubles (Suelos)</t>
  </si>
  <si>
    <t>UNE 103205</t>
  </si>
  <si>
    <t>ASTM D4972</t>
  </si>
  <si>
    <t>Cloruros y sulfatos con preparación de muestras</t>
  </si>
  <si>
    <t>Ensayo acreditado bajo INN LE-304 según norma:
Soxhlet y NCh 1444/1. Of2010</t>
  </si>
  <si>
    <t>Sales solubles con preparación de muestras</t>
  </si>
  <si>
    <t>Sales solubles, Cloruros y sulfatos con preparación de muestras</t>
  </si>
  <si>
    <t>Materia Orgánica Cualitativa</t>
  </si>
  <si>
    <t>ASTM D2974</t>
  </si>
  <si>
    <t>Materia Orgánica Cuantitativa</t>
  </si>
  <si>
    <t>Porcentaje de cenizas</t>
  </si>
  <si>
    <t>IV.4</t>
  </si>
  <si>
    <t>Ensayos químicos de agua para amasado</t>
  </si>
  <si>
    <t>Set de ensayos agua de amasado según norma</t>
  </si>
  <si>
    <t>NCh 1498</t>
  </si>
  <si>
    <t>NCh 413</t>
  </si>
  <si>
    <t>Sólidos en suspensión</t>
  </si>
  <si>
    <t>NCh 416</t>
  </si>
  <si>
    <t>Sólidos disueltos</t>
  </si>
  <si>
    <t>Materia orgánica</t>
  </si>
  <si>
    <t>IV.5</t>
  </si>
  <si>
    <t>Ensayos químicos especiales</t>
  </si>
  <si>
    <t>Carbonatos en Cal</t>
  </si>
  <si>
    <t>ASTM C25</t>
  </si>
  <si>
    <t>Contenido de un elemento: Magnesio o Sodio o Potasio o Hierro o Manganeso o Aluminio o Sílice o Cal Libre o Calcio</t>
  </si>
  <si>
    <t>NCh 147 - ASTM C114</t>
  </si>
  <si>
    <t>Penetración Cloruros</t>
  </si>
  <si>
    <t>ASTM C1208</t>
  </si>
  <si>
    <t>Cloruros en áridos método en agua</t>
  </si>
  <si>
    <t>ASTM C1524</t>
  </si>
  <si>
    <t>Sulfatos en áridos método ácido</t>
  </si>
  <si>
    <t>BS812</t>
  </si>
  <si>
    <t>Sulfuros</t>
  </si>
  <si>
    <t>UNE 1774</t>
  </si>
  <si>
    <t>V</t>
  </si>
  <si>
    <t>ENSAYOS GRANDES PARTÍCULAS</t>
  </si>
  <si>
    <t>V.1</t>
  </si>
  <si>
    <t>TRIAXIALES CIU o CID GRANDES PARTÍCULAS</t>
  </si>
  <si>
    <r>
      <rPr>
        <sz val="10"/>
        <color theme="1"/>
        <rFont val="Calibri"/>
        <family val="2"/>
      </rPr>
      <t>Ensayo Triaxial para grandes partículas
Tipo CIU o CID ( probeta de 100 x 180 cm, tamaño máximo 6”, confinamiento máximo 20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).
Notas: 
Se considera máx. 5 días hábiles de ejecución y corte monotónico.
Se considera material previamente preparado según ítem de preparación de muestras.
El peso de material x probeta informado es referencial y considera bajo 7". El material a enviar para ensayo se debe estimar según las caracteristicas propias del material.</t>
    </r>
  </si>
  <si>
    <r>
      <rPr>
        <sz val="10"/>
        <color theme="1"/>
        <rFont val="Calibri"/>
        <family val="2"/>
      </rPr>
      <t>Ensayo triaxial para grandes partículas
Tipo CIU o CID ( probeta de 60 x 120 cm, tamaño máximo 4”, confinamiento máximo 20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).
Notas: 
Se considera máx. 5 días hábiles de ejecución y corte monotónico.
Se considera material previamente preparado según ítem de preparación de muestras.
El peso de material x probeta informado es referencial y considera bajo 4". El material a enviar para ensayo se debe estimar según las caracteristicas propias del material.</t>
    </r>
  </si>
  <si>
    <r>
      <rPr>
        <sz val="10"/>
        <color theme="1"/>
        <rFont val="Calibri"/>
        <family val="2"/>
      </rPr>
      <t>Ensayo Triaxial para grandes partículas
Tipo CIU o CID ( probeta de 30 x 60 cm, tamaño máximo 2”, confinamiento máximo 11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).
Notas: 
Se considera máx. 5 días hábiles de ejecución y corte monotónico.
Se considera material previamente preparado según ítem de preparación de muestras.
El peso de material x probeta informado es referencial y considera bajo 2". El material a enviar para ensayo se debe estimar según las caracteristicas propias del material.</t>
    </r>
  </si>
  <si>
    <r>
      <rPr>
        <sz val="10"/>
        <color theme="1"/>
        <rFont val="Calibri"/>
        <family val="2"/>
      </rPr>
      <t xml:space="preserve">Preparación de muestra para Triaxial Gigante probeta 100 x 180 cm
</t>
    </r>
    <r>
      <rPr>
        <i/>
        <sz val="10"/>
        <color theme="1"/>
        <rFont val="Calibri"/>
        <family val="2"/>
      </rPr>
      <t xml:space="preserve">Notas
considera máximo 15 toneladas de material, material estimado necesaria para </t>
    </r>
    <r>
      <rPr>
        <b/>
        <i/>
        <sz val="10"/>
        <color theme="1"/>
        <rFont val="Calibri"/>
        <family val="2"/>
      </rPr>
      <t>tres probetas</t>
    </r>
    <r>
      <rPr>
        <i/>
        <sz val="10"/>
        <color theme="1"/>
        <rFont val="Calibri"/>
        <family val="2"/>
      </rPr>
      <t>.
Preparación de muestras homotéticas hasta malla 1 1/2", bajo este tamiz la muestra se utiliza integral, sin modificación.</t>
    </r>
  </si>
  <si>
    <t>----</t>
  </si>
  <si>
    <r>
      <rPr>
        <sz val="10"/>
        <color theme="1"/>
        <rFont val="Calibri"/>
        <family val="2"/>
      </rPr>
      <t xml:space="preserve">Preparación de muestra para Triaxial Gigante probeta 60 x 120 cm
</t>
    </r>
    <r>
      <rPr>
        <i/>
        <sz val="10"/>
        <color theme="1"/>
        <rFont val="Calibri"/>
        <family val="2"/>
      </rPr>
      <t xml:space="preserve">Notas
considera máximo 6 toneladas de material, material estimado necesaria para </t>
    </r>
    <r>
      <rPr>
        <b/>
        <i/>
        <sz val="10"/>
        <color theme="1"/>
        <rFont val="Calibri"/>
        <family val="2"/>
      </rPr>
      <t>tres probetas</t>
    </r>
    <r>
      <rPr>
        <i/>
        <sz val="10"/>
        <color theme="1"/>
        <rFont val="Calibri"/>
        <family val="2"/>
      </rPr>
      <t>.
Preparación de muestras homotéticas hasta malla 1 1/2", bajo este tamiz la muestra se utiliza integral, sin modificación.</t>
    </r>
  </si>
  <si>
    <t>Granulometría Post Triaxial Gigante 100 x 180 cm</t>
  </si>
  <si>
    <t>Granulometría Post Triaxial Gigante 60 x 120 cm</t>
  </si>
  <si>
    <t>Granulometría Post Triaxial Gigante 30 x 60 cm</t>
  </si>
  <si>
    <t>V.2</t>
  </si>
  <si>
    <t>CONSOLIDACIÓN + PERMEABLIDAD GRANDES PARTICULARES</t>
  </si>
  <si>
    <r>
      <rPr>
        <sz val="10"/>
        <color theme="1"/>
        <rFont val="Calibri"/>
        <family val="2"/>
      </rPr>
      <t xml:space="preserve">Ensayo Edométrico de grandes partículas (probeta de 100 cm, tamaño máximo 6", carga vertical máxima 50 kg/cm², con medición de Permeabilidad.
Duración máxima considerada 5 días hábiles. Lunes a Viernes de 8:30 a 17:30 horas
El peso de material x probeta informado es referencial y considera bajo 6". El material a enviar para ensayo se debe estimar según las caracteristicas propias del material..
</t>
    </r>
    <r>
      <rPr>
        <b/>
        <sz val="10"/>
        <color theme="1"/>
        <rFont val="Calibri"/>
        <family val="2"/>
      </rPr>
      <t xml:space="preserve">*En caso de considerar turno nocturno, se cobrará adicional de acuerdo a ítem de personal de fin de semana, feriados y turno nocturno. </t>
    </r>
  </si>
  <si>
    <t>Preparación de muestra para Consolidación Edométrica molde de 100 cm
Notas:
Preparación de muestras homotéticas hasta malla 1 1/2", bajo este tamiz la muestra se utiliza integral, sin modificación.</t>
  </si>
  <si>
    <t>Día adicional Lunes a Viernes de 8:30 a 17:30 horas (12 horas)</t>
  </si>
  <si>
    <t xml:space="preserve">Día adicional fin de samana u Horario nocturno (12 horas) </t>
  </si>
  <si>
    <r>
      <rPr>
        <sz val="10"/>
        <color theme="1"/>
        <rFont val="Calibri"/>
        <family val="2"/>
      </rPr>
      <t xml:space="preserve">Ensayo Edométrico de grandes partículas (probeta de 60 cm, tamaño máximo 4", carga vertical máxima 60 kg/cm², con medición de Permeabilidad, en el ultimo estado de carga..
Duración máxima considerada 5 días hábiles. Semana: Lunes a Viernes de 8:30 a 17:30 horas
</t>
    </r>
    <r>
      <rPr>
        <sz val="10"/>
        <color theme="1"/>
        <rFont val="Calibri"/>
        <family val="2"/>
      </rPr>
      <t>El peso de material x probeta informado es referencial y considera bajo 4". El material a enviar para ensayo se debe estimar según las caracteristicas propias del material.</t>
    </r>
  </si>
  <si>
    <t>Preparación de muestra para Consolidación Edométrica molde de 60 cm
Notas:
Preparación de muestras homotéticas hasta malla 1 1/2", bajo este tamiz la muestra se utiliza integral, sin modificación.</t>
  </si>
  <si>
    <t xml:space="preserve">Granulometría Post Consolidación diámetro 100 cm </t>
  </si>
  <si>
    <t>Granulometría Post Consolidación diámetro 60 cm</t>
  </si>
  <si>
    <t>V.3</t>
  </si>
  <si>
    <t>PERMEABILIDAD PARED FLEXIBLE DE GRANDES PARTÍCULAS</t>
  </si>
  <si>
    <t>Ensayo de Permeabilidad Pared Flexible
( probeta de 30 x 60 cm, tamaño máximo 2”, confinamiento máximo 20 kg/cm2).
Nota: Considera material previamente preparado según ítem de preparación de muestras.
El peso de material x probeta informado es referencial y considera bajo 2". El material a enviar para ensayo se debe estimar según las caracteristicas propias del material.</t>
  </si>
  <si>
    <r>
      <rPr>
        <sz val="10"/>
        <color theme="1"/>
        <rFont val="Calibri"/>
        <family val="2"/>
      </rPr>
      <t xml:space="preserve">Preparación de muestra Probeta 30 x 60 cm
</t>
    </r>
    <r>
      <rPr>
        <i/>
        <sz val="10"/>
        <color theme="1"/>
        <rFont val="Calibri"/>
        <family val="2"/>
      </rPr>
      <t>Notas
considera máximo 1 toneladas de material.
Preparación de muestras homotéticas hasta malla 1 1/2", bajo este tamiz la muestra se utiliza integral, sin modificación.</t>
    </r>
  </si>
  <si>
    <t xml:space="preserve">Ensayo de Permeabilidad durante ejecución de Ensayo Triaxial de Grandes Partículas, en etapa post consolidación previo al corte.
( probeta de 30 x 60 cm, tamaño máximo 2”, confinamiento máximo 20 kg/cm2).
Nota: Considera material previamente preparado según ítem de preparación de muestras
Considera 01 confinamiento </t>
  </si>
  <si>
    <t>llaves</t>
  </si>
  <si>
    <t>V.4</t>
  </si>
  <si>
    <t>PERMEABILIDAD PARED RÍGIDA GRANDES PARTICULARES</t>
  </si>
  <si>
    <r>
      <rPr>
        <sz val="10"/>
        <color theme="1"/>
        <rFont val="Calibri"/>
        <family val="2"/>
      </rPr>
      <t xml:space="preserve">Ensayo Permealidad Pared Rígida de grandes partículas (probeta de 100 cm, tamaño máximo 6")
Duración máxima considerada2 días. Semana: Lunes a Viernes de 8:30 a 17:30 horas
</t>
    </r>
    <r>
      <rPr>
        <b/>
        <sz val="10"/>
        <color theme="1"/>
        <rFont val="Calibri"/>
        <family val="2"/>
      </rPr>
      <t xml:space="preserve">*En caso de considerar turno nocturno, se cobrará adicional de acuerdo a ítem de personal de fin de semana, feriados y turno nocturno. </t>
    </r>
  </si>
  <si>
    <t>Preparación de muestra  Permealidad Pared Rígida de grandes partículas molde 100 cm
Notas:
Preparación de muestras homotéticas hasta malla 1 1/2", bajo este tamiz la muestra se utiliza integral, sin modificación.</t>
  </si>
  <si>
    <t>--</t>
  </si>
  <si>
    <r>
      <rPr>
        <sz val="10"/>
        <color theme="1"/>
        <rFont val="Calibri"/>
        <family val="2"/>
      </rPr>
      <t xml:space="preserve">Ensayo Permealidad Pared Rígida de grandes partículas  (probeta de 60 cm, tamaño máximo 4")
Duración máxima considerada 2 días. Semana: Lunes a Viernes de 8:30 a 17:30 horas
</t>
    </r>
    <r>
      <rPr>
        <b/>
        <sz val="10"/>
        <color theme="1"/>
        <rFont val="Calibri"/>
        <family val="2"/>
      </rPr>
      <t xml:space="preserve">*En caso de considerar turno nocturno, se cobrará adicional de acuerdo a ítem de personal de fin de semana, feriados y turno nocturno. </t>
    </r>
  </si>
  <si>
    <t>Preparación de muestra  Permealidad Pared Rígida de grandes partículas molde de 60 cm
Notas:
Preparación de muestras homotéticas hasta malla 1 1/2", bajo este tamiz la muestra se utiliza integral, sin modificación.</t>
  </si>
  <si>
    <t>V.5</t>
  </si>
  <si>
    <t>OTROS ENSAYOS GRANDES PARTÍCULAS</t>
  </si>
  <si>
    <t>Punzonamiento Geo-membrana (Molde 100 cm diámetro)ante carga de suelo. Descripción cualitativa. Carga máxima hasta 24 kg/cm2.</t>
  </si>
  <si>
    <t>15 cm de fundación
25 cm de cover
360 kg fund y 600 kg cover</t>
  </si>
  <si>
    <t>Densidad máxima y mínima especial con compactador mecánico en molde de 60cm (Método no convencional)</t>
  </si>
  <si>
    <t>Densidad máxima y mínima especial con compactador mecánico en molde de 100cm (Método no convencional)</t>
  </si>
  <si>
    <t>Ensayos Nuevos</t>
  </si>
  <si>
    <t>revisar para crear</t>
  </si>
  <si>
    <t>Preparación y trituración de muestra con curva granulometríca para ensayo de Corte Directo 30x30</t>
  </si>
  <si>
    <t>Etapa de Ensayo Triaxial cicleado para grandes partículasTipo CID ( probeta de 100 x 180 cm, tamaño máximo 6”, confinamiento máximo 20 kg/cm2).Nota: Considera horas adicionales para etapa de cicleo.
(complementario al ensayo trixial)</t>
  </si>
  <si>
    <t>Para estimación de HH(10 min x Cant punto Ciclo x Cant Ciclos)/60</t>
  </si>
  <si>
    <t>Ensayo Consolidación Isotrópica (Equipo Triaxial). Probeta 5 x 10 cm. Confinamiento hasta 28 kg/cm2. Probeta tallada (muestra natural) o probeta remoldeada (muestra perturbada). Tamaño máximo de partícula: malla N°4 (máx. 5 días hábiles de ejecución)</t>
  </si>
  <si>
    <t>Día adicional ensayo consolidación isotrópica (Equipo Triaxial). Probeta 5 x 10 cm. Confinamiento hasta 28 kg/cm2</t>
  </si>
  <si>
    <t>Determinación Índice de abrasividad de la roca (RAI)
Considera:
- Ensayo de Compresión Uniaxial Simple (UCS)
- Preparación de corte transparente y análisis mineralógico microscópico (incluye determinación de contenido de cuarzo equivalente a minerales abrasivos).
- Determinación Índice de abrasividad de la roca (RAI).</t>
  </si>
  <si>
    <t>78-1</t>
  </si>
  <si>
    <t>79-1</t>
  </si>
  <si>
    <t>PH (Suelos)</t>
  </si>
  <si>
    <t>Cloruros (Suelos)</t>
  </si>
  <si>
    <t>Sulfatos (Suelos)</t>
  </si>
  <si>
    <t>Cloruros (Agua para amasado)</t>
  </si>
  <si>
    <t>Sulfatos (Agua para amasado)</t>
  </si>
  <si>
    <t>pH (Agua para amasado)</t>
  </si>
  <si>
    <r>
      <t>Colapso en odómetro (hasta 17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 molde de 5 cm o de 6 cm de diámetro. Considera 5 cargas.                                                                                                                                                            </t>
    </r>
    <r>
      <rPr>
        <u/>
        <sz val="10"/>
        <color theme="1"/>
        <rFont val="Calibri"/>
        <family val="2"/>
      </rPr>
      <t>Consideraciones especiales:</t>
    </r>
    <r>
      <rPr>
        <sz val="10"/>
        <color theme="1"/>
        <rFont val="Calibri"/>
        <family val="2"/>
      </rPr>
      <t xml:space="preserve">
1. Considera un tiempo máximo de ejecución de 15 días corridos. </t>
    </r>
  </si>
  <si>
    <t>Ensaye Corte HOEK con Planos Orientados. Ensayo de 3 pasos, con incremento de carga normal. Considera: 1 Discontinuidad ensayada tres veces, incluye preparación de probeta: Corte y molde del ensayo.</t>
  </si>
  <si>
    <r>
      <t>Ensaye Triaxial UU (convencional), probeta 10,0 x 20,0 cm (hasta 6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
Probeta tallada (muestra natural) o probeta remoldeada (muestra perturbada).
Material bajo 3/8 pulgada.
</t>
    </r>
    <r>
      <rPr>
        <i/>
        <sz val="10"/>
        <color theme="1"/>
        <rFont val="Calibri"/>
        <family val="2"/>
      </rPr>
      <t>Nota: Se requiere serie de tres probetas/muestra.</t>
    </r>
  </si>
  <si>
    <r>
      <t>Ensaye Triaxial CIU (convencional), probeta 10,0 x 20,0 cm (hasta 6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
Probeta tallada (muestra natural) o probeta remoldeada (muestra perturbada).
Material bajo 3/8 pulgada.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</si>
  <si>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r>
      <t xml:space="preserve">Ensaye Triaxial CID (convencional), probeta 15,0 x 30,0 cm (hasta 6 kg/cm2)
</t>
    </r>
    <r>
      <rPr>
        <i/>
        <sz val="10"/>
        <color theme="1"/>
        <rFont val="Calibri"/>
        <family val="2"/>
      </rPr>
      <t xml:space="preserve">Probeta tallada (muestra natural) o probeta remoldeada (muestra perturbada).
Material bajo 1 pulgada.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</si>
  <si>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r>
      <t xml:space="preserve">Ensaye Triaxial CID (convencional), probeta 10,0 x 20,0 cm (hasta 6 kg/cm2) 
</t>
    </r>
    <r>
      <rPr>
        <i/>
        <sz val="10"/>
        <color theme="1"/>
        <rFont val="Calibri"/>
        <family val="2"/>
      </rPr>
      <t xml:space="preserve">Probeta tallada (muestra natural) o probeta remoldeada (muestra perturbada).
Material bajo 3/8 pulgada.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</si>
  <si>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r>
      <t>Ensaye Triaxial UU (convencional), probeta 15,0 x 30,0 cm (hasta 6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
Probeta tallada (muestra natural) o probeta remoldeada (muestra perturbada).
Material bajo 1 pulgada.
</t>
    </r>
    <r>
      <rPr>
        <i/>
        <sz val="10"/>
        <color theme="1"/>
        <rFont val="Calibri"/>
        <family val="2"/>
      </rPr>
      <t>Nota: Se requiere serie de tres probetas/muestra.</t>
    </r>
  </si>
  <si>
    <r>
      <t>Ensaye Triaxial CIU (convencional), probeta 15,0 x 30,0 cm (hasta 6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
Probeta tallada (muestra natural) o probeta remoldeada (muestra perturbada).
Material bajo 1  pulgada.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</si>
  <si>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t>Ensayo de Permeabilidad pared flexible (Equipo Triaxial), carga variable. Probeta 10 x 20 cm. Confinamiento hasta 6 kg/cm2.
Probeta tallada (muestra natural) o probeta remoldeada (muestra perturbada).
Tamaño máximo de partícula: 3/8 pulgada (máx. 5 días hábiles de ejecución).
Considera 01 confinamiento.</t>
  </si>
  <si>
    <t>Ensayo de Permeabilidad pared flexible (Equipo Triaxial), carga constante. Probeta 10 x 20 cm. Confinamiento hasta 6 kg/cm2.
Probeta tallada (muestra natural) o probeta remoldeada (muestra perturbada).
Tamaño máximo de partícula: 3/8 pulgada (máx. 5 días hábiles de ejecución).
Considera 01 confinamiento.</t>
  </si>
  <si>
    <t>Ensayo de Permeabilidad pared flexible (Equipo Triaxial), carga variable. Probeta 15 x 30 cm. Confinamiento hasta 6 kg/cm2.
Probeta tallada (muestra natural) o probeta remoldeada (muestra perturbada).
Tamaño máximo de partícula: 1 pulgada (máx. 5 días hábiles de ejecución).
Considera 01 confinamiento.</t>
  </si>
  <si>
    <r>
      <t xml:space="preserve">Ensayo de Permeabilidad pared flexible (Equipo Triaxial), carga constante. Probeta 15 x 30 cm. Confinamiento hasta 6 kg/cm2.
Probeta tallada (muestra natural) o probeta remoldeada (muestra perturbada).
</t>
    </r>
    <r>
      <rPr>
        <b/>
        <sz val="10"/>
        <color theme="1"/>
        <rFont val="Calibri"/>
        <family val="2"/>
      </rPr>
      <t>Tamaño máximo de partícula: 1 pulgada (máx. 5 días hábiles de ejecución).</t>
    </r>
    <r>
      <rPr>
        <sz val="10"/>
        <color theme="1"/>
        <rFont val="Calibri"/>
        <family val="2"/>
      </rPr>
      <t xml:space="preserve">
Considera 01 confinamiento.</t>
    </r>
  </si>
  <si>
    <t>Ensayo de Permeabilidad pared flexible (Equipo Triaxial), carga variable. Probeta 10 x 20 cm. Confinamiento hasta 12 kg/cm2.
Probeta tallada (muestra natural) o probeta remoldeada (muestra perturbada).
Tamaño máximo de partícula: 3/8 pulgada (máx. 5 días hábiles de ejecución).
Considera 01 confinamiento.</t>
  </si>
  <si>
    <t>Ensayo de Permeabilidad pared flexible (Equipo Triaxial), carga variable. Probeta 15 x 30 cm. Confinamiento hasta 9 kg/cm2.
Probeta tallada (muestra natural) o probeta remoldeada (muestra perturbada).
Tamaño máximo de partícula: 1 pulgada (máx. 5 días hábiles de ejecución).
Considera 01 confinamiento.</t>
  </si>
  <si>
    <t>Ensayo de Permeabilidad pared flexible (Equipo Triaxial), carga constante. Probeta 15 x 30 cm. Confinamiento hasta 9 kg/cm2.
Probeta tallada (muestra natural) o probeta remoldeada (muestra perturbada).
Tamaño máximo de partícula: 1 pulgada (máx. 5 días hábiles de ejecución).
Considera 01 confinamiento.</t>
  </si>
  <si>
    <t>Dia adicional al tiempo máximo de ejecución de ensayo de consolidación 5 cm</t>
  </si>
  <si>
    <t>-</t>
  </si>
  <si>
    <t>Determinación de Carbonatos en suelos</t>
  </si>
  <si>
    <t>Norma BS 1377-3:2018+A1:2021.</t>
  </si>
  <si>
    <t>según MC Vol 8.202.14</t>
  </si>
  <si>
    <t>Determinación de Cloruros en Suelos</t>
  </si>
  <si>
    <t>Determinación de Sulfatos en Suelos</t>
  </si>
  <si>
    <t>REVISAR CON DANAE</t>
  </si>
  <si>
    <t>Día adicional de saturación y/o consolidación para ensayo triaxial CIU o CID en probeta 5,0 x 10,0 cm. Confinamiento hasta 6 kg/cm2</t>
  </si>
  <si>
    <t xml:space="preserve">c/muestra </t>
  </si>
  <si>
    <t>Análisis EDX: Análisis Químico Elemental por Espectroscopía de Dispersión de Energía. (*) Se requiere muestra pulverizada bajo tamiz #200</t>
  </si>
  <si>
    <t>Difracción de Rayos X con cuantificación. (*) Se requiere muestra pulverizada bajo tamiz #200.</t>
  </si>
  <si>
    <r>
      <t xml:space="preserve">Consolidación Edométrica con medición de permeabilidad (hasta 10 kg/cm2), en molde de 20 cm de diámetro, material hasta 1 1/2 pulgada.
</t>
    </r>
    <r>
      <rPr>
        <u/>
        <sz val="10"/>
        <color theme="1"/>
        <rFont val="Calibri"/>
        <family val="2"/>
      </rPr>
      <t>Consideraciones especiales:</t>
    </r>
    <r>
      <rPr>
        <sz val="10"/>
        <color theme="1"/>
        <rFont val="Calibri"/>
        <family val="2"/>
      </rPr>
      <t xml:space="preserve">
1. Considera hasta 3 estados de carga vertical y 2 descargas.
2. Considera un tiempo máximo de ejecución de 15 días hábiles.
3. Considera medición de permeabilidad en cada carga.</t>
    </r>
  </si>
  <si>
    <t>Compresión No Confinada en muestra de suelos-cemento. Probeta 15,0 x 30,0 cm</t>
  </si>
  <si>
    <t>Preparacion homotética para probeta de ensayo triaxial 15x30 (cm), se debe evaluar la granulometria previo a la aceptación del trabajo, para su ejecución</t>
  </si>
  <si>
    <t xml:space="preserve">Tallado de muestras 5x10 y 10x20 cm para ensayo en muestras cementadas por sales </t>
  </si>
  <si>
    <t>Clasificación USCS completa (bajo 3").
Incluye:
- Granulometría (hasta malla 200)
- Límites de Atterberg
- Peso Específico (bajo N° 4)</t>
  </si>
  <si>
    <r>
      <t xml:space="preserve">Colapso en odómetro (hasta 9 kg/cm2) molde de 20 cm de diámetro. Considera 5 cargas. (sólo en probeta remoldeada)
</t>
    </r>
    <r>
      <rPr>
        <u/>
        <sz val="10"/>
        <color theme="1"/>
        <rFont val="Calibri"/>
        <family val="2"/>
      </rPr>
      <t xml:space="preserve">Consideraciones especiales:
</t>
    </r>
    <r>
      <rPr>
        <sz val="10"/>
        <color theme="1"/>
        <rFont val="Calibri"/>
        <family val="2"/>
      </rPr>
      <t xml:space="preserve">1. Considera un tiempo máximo de ejecución de 15 días corridos. </t>
    </r>
  </si>
  <si>
    <t>Punzonamiento Geo-membrana (Molde 30 cm diámetro)ante carga de suelo. Descripción cualitativa. Carga máxima hasta 30 kg/cm2. Se considera 30 cm de alturapor material. Tamaño máximo de partícula: 1 1/2"</t>
  </si>
  <si>
    <r>
      <t>Bender Element (probeta 5 x 10 cm) hasta 9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, para tres presiones de confinamiento. Tamaño máximo de partícula malla Nº 4.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de ensayo).</t>
    </r>
  </si>
  <si>
    <t>IEEE-442</t>
  </si>
  <si>
    <t xml:space="preserve">Estudio de Resistividad Térmica, Capacidad Calor Especifico y Difusividad Termica.                                                      Considera medición a una(01) densidad determinada y a cinco (05) contenidos de humedad.                               Considera informe de resultados del comportamiento térmico Dry-Out.                                                                  Nota 1: Tamaño máximo de partícula hasta 3/4"                                                                                                                      Nota 2: Se requieren al menos 6 kilos de material.                                                                                                                  Nota 3: El mandante es responsable de definir la densidad y los contenidos de humedad.                              Nota 4: El ensayo se ejecuta en laboratorio Idiem Santiago                                  </t>
  </si>
  <si>
    <t>Abertura Shelby o Tallado de Probeta 5x10 cm</t>
  </si>
  <si>
    <t>Hinchamiento Libre. Material bajo malla Nº 10 (Considera un máximo de 5 días hábiles de ejecución de ensayo)</t>
  </si>
  <si>
    <t>Presión de Hinchamiento. Material bajo malla Nº 10.(Considera 5 días hábiles para ejecución de ensayo)</t>
  </si>
  <si>
    <t>Límite de Contracción (considera hasta 14 días de trabajo)</t>
  </si>
  <si>
    <r>
      <t xml:space="preserve">Consolidación (convencional hasta 8 kg/cm2), en molde de 5 cm de diámetro, material bajo malla #10. 
</t>
    </r>
    <r>
      <rPr>
        <u/>
        <sz val="10"/>
        <color theme="1"/>
        <rFont val="Calibri"/>
        <family val="2"/>
      </rPr>
      <t>Consideraciones especiales</t>
    </r>
    <r>
      <rPr>
        <sz val="10"/>
        <color theme="1"/>
        <rFont val="Calibri"/>
        <family val="2"/>
      </rPr>
      <t>:
1- Considera hasta 6 estados de carga y 4 de descarga.
2- Considera un tiempo máximo de ejecución de 15 días hábiles.</t>
    </r>
  </si>
  <si>
    <t>Preparación de Corte Transparente con tinción.</t>
  </si>
  <si>
    <t>Indice de Expansión (Expansion Index)</t>
  </si>
  <si>
    <t>Resistividad Térmica. Incluye Conductividad Térmica, Capacidad Calor Especifico y difusividad Térmica. Considera medición a una (01) humedad y/o densidad determinada para rocas</t>
  </si>
  <si>
    <t>Ensayo de Colapso para Suelo (potencial de colapso) bajo una carga.</t>
  </si>
  <si>
    <t>Día adicional de ensayo  de hinchamiento libre en roca</t>
  </si>
  <si>
    <t>Presión de Hinchamiento en roca (Considera un máximo de 10 días hábiles de ejecución de ensayo)</t>
  </si>
  <si>
    <t>Proced.Interno</t>
  </si>
  <si>
    <t>Día adicional de ensayo de presión de hinchamiento</t>
  </si>
  <si>
    <t>Hinchamiento libre en roca (Considera un máximo de 10 días hábiles de ejecución de ensayo)</t>
  </si>
  <si>
    <t>Granulometria Post Ensayo</t>
  </si>
  <si>
    <t>CDSS-CU, Corte simple directo cíclico consolidado no drenado en volumen constante, con control de carga. Probeta 63,9 x 19 (mm). Tensión máxim 1400 kPa</t>
  </si>
  <si>
    <t>ASTM D8296-19</t>
  </si>
  <si>
    <t>ASTM D6528-24</t>
  </si>
  <si>
    <t>Basado en ASTM D2434-22</t>
  </si>
  <si>
    <t>Basado en ASTM D5084-24</t>
  </si>
  <si>
    <t>ASTM D4015-21</t>
  </si>
  <si>
    <t>Basado en ASTM C97/C97M-25</t>
  </si>
  <si>
    <t>Basado en D7263-21</t>
  </si>
  <si>
    <t>Basado en ASTM D4543-19</t>
  </si>
  <si>
    <t>Basado en ASTM D7012-23</t>
  </si>
  <si>
    <t>Basado en ASTM D7625-22</t>
  </si>
  <si>
    <t>ASTM D7263-21</t>
  </si>
  <si>
    <t>Basado en ASTM G187-23</t>
  </si>
  <si>
    <t>ASTM D2487-17</t>
  </si>
  <si>
    <t>ASTM D422-63 (2007)e2</t>
  </si>
  <si>
    <t>Basado en ASTM D2850-25</t>
  </si>
  <si>
    <t xml:space="preserve"> Basado en ASTM D2850-25</t>
  </si>
  <si>
    <t>Basado en ASTM D4767-11 (2020)</t>
  </si>
  <si>
    <t>Basado en ASTM D7181-20</t>
  </si>
  <si>
    <t>Basado en ASTM D5311-25</t>
  </si>
  <si>
    <t>NCh 165:2009</t>
  </si>
  <si>
    <t>NCh 11171:2010</t>
  </si>
  <si>
    <t>NCh 1116:2008</t>
  </si>
  <si>
    <t>NCh 1327:79</t>
  </si>
  <si>
    <t>NCh 1511:80</t>
  </si>
  <si>
    <t>ASTM C40/C40-20</t>
  </si>
  <si>
    <t>NCh 1325:2010</t>
  </si>
  <si>
    <t>NCh.1444:2010</t>
  </si>
  <si>
    <t>ASTM C 25-24</t>
  </si>
  <si>
    <t>NCh.166:2009</t>
  </si>
  <si>
    <t>ASTM C123/C123M-14</t>
  </si>
  <si>
    <t>NCh.1444:2010
NCh.416 of.1983</t>
  </si>
  <si>
    <t>según norma:
ASTM D2166/D2166M-24</t>
  </si>
  <si>
    <t>ASTM D422-63 (2007)e1</t>
  </si>
  <si>
    <t>ASTM D4829-21</t>
  </si>
  <si>
    <t>ASTM D5334-22ae1</t>
  </si>
  <si>
    <t>ASTM D4546, "Standard Test Methods for One-Dimensional Swell or Collapse of Soils." - Metodo B, reemplaza ASTM D5333-03</t>
  </si>
  <si>
    <t>Proced.Interno basado en ASTM D4546-21</t>
  </si>
  <si>
    <t>Ensayo acreditado bajo INN LE-304 según norma:
ASTM D2435M-11 (2020)</t>
  </si>
  <si>
    <t>Preparación desgaste los angeles</t>
  </si>
  <si>
    <t>Limpieza de Material de 1 tonelada y corte en malla 2"</t>
  </si>
  <si>
    <t>Ensaye Triaxial CIU (convencional), probeta 10,0 x 20,0 cm (hasta 6 kg/cm2)
Probeta tallada (muestra natural) o probeta remoldeada (muestra perturbada), con medición de permeabilidad a carga constante (pared flexible).
Material bajo 3/8 pulgada.
Nota 1: Se ejecuta consolidación y se realiza medición de permeabilidad en la misma probeta.
Nota 2: Tiempo de ejecución de ensayos considera 3 días hábiles (2 días de saturación y consolidación y 3ª día etapa de corte hasta máximo 4 horas).</t>
  </si>
  <si>
    <t>Día adicional de saturación y/o consolidación para equipo triaxial CIU en probeta 10,0 x 20,0 cm.</t>
  </si>
  <si>
    <t>CDSS-CU, Corte simple directo cíclico consolidado no drenado en volumen constante, con control de carga. Probeta 63,9 x 19 (mm). Tensión máxim 1400 kPa. Post Corte Simple directo consolidad no drenado</t>
  </si>
  <si>
    <t>c/traslado</t>
  </si>
  <si>
    <t>Traslado de muestras geotécnicas / Iquique - Santiago</t>
  </si>
  <si>
    <t>500 kg</t>
  </si>
  <si>
    <t>Traslado de muestras geotécnicas / Antofagasta - Santiago</t>
  </si>
  <si>
    <t>100 kg</t>
  </si>
  <si>
    <t>Servicio especial - Lavado de muestras salinas</t>
  </si>
  <si>
    <t>200 kg</t>
  </si>
  <si>
    <t>Homogenización Tamaño Particula 2", 200 kilos</t>
  </si>
  <si>
    <t>NF P 94-068</t>
  </si>
  <si>
    <t>Curva de succión - Material bajo malla N°4, presión maxima 1500 kPa. Se requieren datos de entrada como densidad seca, humedad, tensiones.</t>
  </si>
  <si>
    <t>Preparación de Muestras</t>
  </si>
  <si>
    <t>c/kg</t>
  </si>
  <si>
    <t>Determinación de Contenido de Yeso soluble</t>
  </si>
  <si>
    <t>UNE 1030206</t>
  </si>
  <si>
    <t xml:space="preserve"> v</t>
  </si>
  <si>
    <t>Triaxial probeta de 5,0x10,0cm. Consolidado Anisotrópicamente No Drenado (hasta 6 kg/cm2 de confinamiento). Considera 2 días de ensayo con 3 horas de etapa de corte.</t>
  </si>
  <si>
    <t>Basado en ASTM D4767</t>
  </si>
  <si>
    <t>Triaxial probeta de 5,0x10,0 cm. Consolidado Anisotrópicamente No Drenado (hasta 28 kg/cm2 de confinamiento). Considera 2 días de ensayo con 3 horas de etapa de corte.</t>
  </si>
  <si>
    <t>Día adicional consolidación Triaxial 5x10cm</t>
  </si>
  <si>
    <t>Hora adicional etapa de corte Triaxial 5x10cm</t>
  </si>
  <si>
    <t>c/dia</t>
  </si>
  <si>
    <t>Carga adicional consolidación hasta 4 kgf/cm2</t>
  </si>
  <si>
    <t>Carga adicional consolidación hasta 8 kgf/cm2</t>
  </si>
  <si>
    <t>Carga adicional consolidación hasta 16 kgf/cm2</t>
  </si>
  <si>
    <t>Carga adicional consolidación hasta 32 kgf/cm2</t>
  </si>
  <si>
    <t>Coeficiente de forma</t>
  </si>
  <si>
    <t>NCh 3240</t>
  </si>
  <si>
    <t>Ensayo de Permeabilidad pared flexible (Equipo Triaxial), carga variable. Probeta 5 x 10 cm. Confinamiento hasta 6 kg/cm2.
Probeta tallada (muestra natural) o probeta remoldeada (muestra perturbada).
Tamaño máximo de partícula: malla N° 4 (máx. 5 días hábiles de ejecución).
Considera 01 confinamiento.</t>
  </si>
  <si>
    <t>Aumento %</t>
  </si>
  <si>
    <t>Valor 2026</t>
  </si>
  <si>
    <t>Difracción de rayos X con cuantificación para roca total o suelos y análisis de fracción arcilla mediante preparados orientados. (*) Se requiere muestra pulverizada bajo tamiz #200.</t>
  </si>
  <si>
    <t>Homotetica valor hora</t>
  </si>
  <si>
    <t>301-1</t>
  </si>
  <si>
    <t>Ensayo Tilt Test</t>
  </si>
  <si>
    <t>Corte Directo (probeta 30,0 x 30,0 cm), cargas normales hasta 6,0 Kg/cm2
Material bajo 1 pulgada. Considera máximo 1 día de ejecución.
Nota: Se requiere serie de tres probetas/muestra.</t>
  </si>
  <si>
    <r>
      <t xml:space="preserve">Consolidación Edométrica (hasta 10 kg/cm2), en molde de 15 cm de diámetro, material hasta 3/4 pulgada.
</t>
    </r>
    <r>
      <rPr>
        <u/>
        <sz val="10"/>
        <color theme="1"/>
        <rFont val="Calibri"/>
        <family val="2"/>
      </rPr>
      <t>Consideraciones especiales:</t>
    </r>
    <r>
      <rPr>
        <sz val="10"/>
        <color theme="1"/>
        <rFont val="Calibri"/>
        <family val="2"/>
      </rPr>
      <t xml:space="preserve">
1. Considera hasta 3 estados de carga vertical y 2 descargas.
2. Considera un tiempo máximo de ejecución de 15 días hábiles.</t>
    </r>
  </si>
  <si>
    <t>Consolidación (convencional hasta 64 kg/cm2), en molde de 5 cm de diámetro, material bajo malla #10 .
Consideraciones especiales:
1- Considera hasta 9 estados de carga y 7 de descarga.
2- Considera un tiempo máximo de ejecución de 15 días hábiles.</t>
  </si>
  <si>
    <r>
      <t xml:space="preserve">Ensaye Triaxial CIU (convencional), probeta  5,0 x 10,0 cm (hasta 6 kg/cm2)
Probeta tallada (muestra natural) o probeta remoldeada (muestra perturbada).
</t>
    </r>
    <r>
      <rPr>
        <b/>
        <sz val="10"/>
        <color theme="1"/>
        <rFont val="Calibri"/>
        <family val="2"/>
      </rPr>
      <t>Material bajo malla N° 4.</t>
    </r>
    <r>
      <rPr>
        <sz val="10"/>
        <color theme="1"/>
        <rFont val="Calibri"/>
        <family val="2"/>
      </rPr>
      <t xml:space="preserve">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</si>
  <si>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r>
      <t>Triaxial Cíclico probeta de 5 x 10 cm, Consolidado Isotrópicamente No Drenado (hasta 5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 de confinamiento).
</t>
    </r>
    <r>
      <rPr>
        <i/>
        <sz val="10"/>
        <color theme="1"/>
        <rFont val="Calibri"/>
        <family val="2"/>
      </rPr>
      <t xml:space="preserve">Probeta tallada (muestra natural) o probeta remoldeada (muestra perturbada).
Material bajo malla N° 4.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probetas/confinamiento/muestra.
Para cada probeta se considera una razón de corte (Rc) distinta.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 xml:space="preserve">: Tiempo de ejecución de ensayos considera 3 días hábiles (2 días de saturación y consolidación y 3ª día etapa de cicleo hasta máximo 300 ciclos). </t>
    </r>
  </si>
  <si>
    <t>Determinación del ángulo de reposo en suelo (material hasta 4.75 mm), para una condición de humedad específica</t>
  </si>
  <si>
    <t>ASTM D 1444</t>
  </si>
  <si>
    <t>1 kg (bajo malla N°4)</t>
  </si>
  <si>
    <t>subir 6%</t>
  </si>
  <si>
    <t>Análisis SEM (Microscopia Electrónica de Barrido)</t>
  </si>
  <si>
    <t>Carga adicional consolidacion hasta 64 kg/cm2</t>
  </si>
  <si>
    <t>se mantiene</t>
  </si>
  <si>
    <t>Ensayo acreditado bajo INN LE-304 según norma:
ASTM C127-15 / NCh 1532.Of80</t>
  </si>
  <si>
    <t xml:space="preserve">Ensayo acreditado bajo INN LE-304 según norma:
ASTM D1883-16 / NCh 1852.Of81 / *ASTM D1883-21 </t>
  </si>
  <si>
    <t>Ensayo acreditado bajo INN LE-304 según norma:
*ASTM D2487-17
*ASTM D422-63
8.102.1 (MC-V8 Diciembre 2003) 
ASTM D4318 17e105 / NCh 1517/1. y 2.Of79
ASTM D854-14 / NCh 1532.Of80</t>
  </si>
  <si>
    <t>Ensayo acreditado bajo INN LE-304 según norma:
ASTM D4318-17e105 / NCh 1517/1. y 2.Of79</t>
  </si>
  <si>
    <t>Ensayo acreditado bajo INN LE-304 según norma:
ASTM D698-12e2</t>
  </si>
  <si>
    <t>Ensayo acreditado bajo INN LE-304 según norma:
ASTM D854-14 / NCh 1532.Of80 / *ASTM D854-23</t>
  </si>
  <si>
    <t>Ensayo Acreditado bajo INN LE-304 según norma: 
ASTM D1557-12e1
NCh 1534/2 Of79 / *Nch 1534/2 2008</t>
  </si>
  <si>
    <t>Ensayo acreditado bajo INN LE-304 según norma:
ASTM D2166/D2166M-16</t>
  </si>
  <si>
    <t>Ensayo acreditado bajo INN LE-304 según norma:
ASTM D3080/D3080M-11</t>
  </si>
  <si>
    <t>Ensayo acreditado bajo INN LE-304 según norma:
8.102.1 (MC-V8 Diciembre 2003)
*ASTM D422-63</t>
  </si>
  <si>
    <t>Día adicional para permeabilidad de pared flexible, carga constante, en altas presiones .Probeta 15 x 30 cm.</t>
  </si>
  <si>
    <t>indicado por Smyrna</t>
  </si>
  <si>
    <t>Dia adicional al tiempo máximo de ejecución de ensayo de presión de hinchamiento</t>
  </si>
  <si>
    <r>
      <t xml:space="preserve">Preparación de muestra para Triaxial Gigante 30 x 60 cm
</t>
    </r>
    <r>
      <rPr>
        <i/>
        <sz val="10"/>
        <color theme="1"/>
        <rFont val="Calibri"/>
        <family val="2"/>
      </rPr>
      <t xml:space="preserve">Notas
considera máximo 1 toneladas de material, material estimado necesaria para </t>
    </r>
    <r>
      <rPr>
        <b/>
        <i/>
        <sz val="10"/>
        <color theme="1"/>
        <rFont val="Calibri"/>
        <family val="2"/>
      </rPr>
      <t>tres probetas.</t>
    </r>
    <r>
      <rPr>
        <i/>
        <sz val="10"/>
        <color theme="1"/>
        <rFont val="Calibri"/>
        <family val="2"/>
      </rPr>
      <t xml:space="preserve">
Preparación de muestras homotéticas hasta malla N°4, bajo este tamiz la muestra se utiliza integral, sin modificación.</t>
    </r>
    <r>
      <rPr>
        <sz val="10"/>
        <color theme="1"/>
        <rFont val="Calibri"/>
        <family val="2"/>
      </rPr>
      <t xml:space="preserve">
Valor para máximos tres probetas.</t>
    </r>
  </si>
  <si>
    <t>Chancado de material (0,5 kg)</t>
  </si>
  <si>
    <t>DSS-CU, Corte simple directo consolidado no drenado. Probeta 63,9 x 19 (mm). Tensión máxim 1400 kPa</t>
  </si>
  <si>
    <r>
      <t>Ensaye Triaxial CIU o CID, probeta 15,0 x 30,0 cm (hasta 9 kg/cm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 xml:space="preserve">).
Probeta tallada (muestra natural) o probeta remoldeada (muestra perturbada).
Material bajo 1 pulgada.
</t>
    </r>
    <r>
      <rPr>
        <i/>
        <u/>
        <sz val="10"/>
        <color theme="1"/>
        <rFont val="Calibri"/>
        <family val="2"/>
      </rPr>
      <t>Nota 1</t>
    </r>
    <r>
      <rPr>
        <i/>
        <sz val="10"/>
        <color theme="1"/>
        <rFont val="Calibri"/>
        <family val="2"/>
      </rPr>
      <t xml:space="preserve">: Se requiere serie de tres probetas/muestra.
</t>
    </r>
    <r>
      <rPr>
        <i/>
        <u/>
        <sz val="10"/>
        <color theme="1"/>
        <rFont val="Calibri"/>
        <family val="2"/>
      </rPr>
      <t>Nota 2</t>
    </r>
    <r>
      <rPr>
        <i/>
        <sz val="10"/>
        <color theme="1"/>
        <rFont val="Calibri"/>
        <family val="2"/>
      </rPr>
      <t>: Tiempo de ejecución de ensayos considera 3 días hábiles (2 días de saturación y consolidación y 3ª día etapa de corte hasta máximo 4 horas).</t>
    </r>
  </si>
  <si>
    <r>
      <t>Consolidación - Celda Rowe
Considera:
- Probeta 5 cm de diámetro x 2 cm de altura
- Presión máxima de ensayo 28 kgf/cm</t>
    </r>
    <r>
      <rPr>
        <sz val="10"/>
        <color theme="1"/>
        <rFont val="Aptos Narrow"/>
        <family val="2"/>
      </rPr>
      <t>²</t>
    </r>
    <r>
      <rPr>
        <sz val="7.8"/>
        <color theme="1"/>
        <rFont val="Calibri"/>
        <family val="2"/>
      </rPr>
      <t xml:space="preserve">
</t>
    </r>
    <r>
      <rPr>
        <sz val="10"/>
        <color theme="1"/>
        <rFont val="Calibri"/>
        <family val="2"/>
      </rPr>
      <t>- 5 escalones de carga y 2 de descarga</t>
    </r>
  </si>
  <si>
    <t>Colpaso (hasta 10 kg/cm2), en molde de 15 cm de diámetro, material hasta 3/4 pulgada.
Consideraciones especiales:
1. Considera hasta 3 estados de carga vertical y 2 descargas.
2. Considera un tiempo máximo de ejecución de 15 días hábiles.</t>
  </si>
  <si>
    <t>Ensayo Azul de Metileno - Rocas</t>
  </si>
  <si>
    <t>Basado en ASTM D5731-16</t>
  </si>
  <si>
    <t xml:space="preserve">
NCh1239-2009</t>
  </si>
  <si>
    <t>Ensayo de muestra con ácido (PH &lt;6) ensayos triaxiales, consolidaciones y/o permeabilidad probeta
Se considera cobro adicional asociado a: 
- Manejo de residuos peligrosos
- Limpieza y mantención de equipos, para efitar efectos por ácido. 
Considera ensayos:
- Triaxiales CIU, CID y UU, serie triaxial.
- Permeabilidades Pared Flexible
- Consolidaciones
- Ensayos básicos
- Ensayos de rocas
*Sujeto a revisión de ficha de seguridad provista por 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</si>
</sst>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0_)"/>
    <numFmt numFmtId="165" formatCode="0.00_)"/>
  </numFmts>
  <fonts count="16" x14ac:knownFonts="1">
    <font>
      <sz val="10"/>
      <color rgb="FF000000"/>
      <name val="Courier"/>
      <scheme val="minor"/>
    </font>
    <font>
      <b/>
      <sz val="10"/>
      <color theme="1"/>
      <name val="Calibri"/>
      <family val="2"/>
    </font>
    <font>
      <sz val="10"/>
      <name val="Courier"/>
    </font>
    <font>
      <sz val="10"/>
      <color theme="1"/>
      <name val="Courie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theme="1"/>
      <name val="Calibri"/>
      <family val="2"/>
    </font>
    <font>
      <u/>
      <sz val="10"/>
      <color theme="1"/>
      <name val="Calibri"/>
      <family val="2"/>
    </font>
    <font>
      <i/>
      <sz val="10"/>
      <color theme="1"/>
      <name val="Calibri"/>
      <family val="2"/>
    </font>
    <font>
      <i/>
      <u/>
      <sz val="10"/>
      <color theme="1"/>
      <name val="Calibri"/>
      <family val="2"/>
    </font>
    <font>
      <i/>
      <vertAlign val="superscript"/>
      <sz val="10"/>
      <color theme="1"/>
      <name val="Calibri"/>
      <family val="2"/>
    </font>
    <font>
      <vertAlign val="subscript"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10"/>
      <color rgb="FF000000"/>
      <name val="Courier"/>
      <scheme val="minor"/>
    </font>
    <font>
      <sz val="10"/>
      <color theme="1"/>
      <name val="Aptos Narrow"/>
      <family val="2"/>
    </font>
    <font>
      <sz val="7.8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2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17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165" fontId="4" fillId="0" borderId="15" xfId="0" applyNumberFormat="1" applyFont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65" fontId="4" fillId="0" borderId="17" xfId="0" applyNumberFormat="1" applyFont="1" applyBorder="1" applyAlignment="1">
      <alignment horizontal="center" vertical="center"/>
    </xf>
    <xf numFmtId="9" fontId="4" fillId="0" borderId="17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5" fontId="4" fillId="0" borderId="17" xfId="0" quotePrefix="1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164" fontId="4" fillId="0" borderId="15" xfId="0" quotePrefix="1" applyNumberFormat="1" applyFont="1" applyBorder="1" applyAlignment="1">
      <alignment horizontal="center" vertical="center"/>
    </xf>
    <xf numFmtId="165" fontId="4" fillId="5" borderId="15" xfId="0" applyNumberFormat="1" applyFont="1" applyFill="1" applyBorder="1" applyAlignment="1">
      <alignment horizontal="center" vertical="center"/>
    </xf>
    <xf numFmtId="9" fontId="4" fillId="5" borderId="15" xfId="0" applyNumberFormat="1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left" vertical="center" wrapText="1"/>
    </xf>
    <xf numFmtId="0" fontId="4" fillId="6" borderId="25" xfId="0" quotePrefix="1" applyFont="1" applyFill="1" applyBorder="1" applyAlignment="1">
      <alignment horizontal="center" vertical="center" wrapText="1"/>
    </xf>
    <xf numFmtId="164" fontId="4" fillId="6" borderId="18" xfId="0" applyNumberFormat="1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 wrapText="1"/>
    </xf>
    <xf numFmtId="165" fontId="4" fillId="6" borderId="25" xfId="0" applyNumberFormat="1" applyFont="1" applyFill="1" applyBorder="1" applyAlignment="1">
      <alignment horizontal="center" vertical="center"/>
    </xf>
    <xf numFmtId="9" fontId="4" fillId="6" borderId="25" xfId="0" applyNumberFormat="1" applyFont="1" applyFill="1" applyBorder="1" applyAlignment="1">
      <alignment horizontal="center" vertical="center"/>
    </xf>
    <xf numFmtId="164" fontId="4" fillId="7" borderId="17" xfId="0" applyNumberFormat="1" applyFont="1" applyFill="1" applyBorder="1" applyAlignment="1">
      <alignment horizontal="center" vertical="center"/>
    </xf>
    <xf numFmtId="0" fontId="3" fillId="7" borderId="12" xfId="0" applyFont="1" applyFill="1" applyBorder="1"/>
    <xf numFmtId="0" fontId="3" fillId="7" borderId="1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center" vertical="center" wrapText="1"/>
    </xf>
    <xf numFmtId="164" fontId="4" fillId="0" borderId="29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9" fontId="4" fillId="0" borderId="29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31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quotePrefix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165" fontId="4" fillId="0" borderId="18" xfId="0" applyNumberFormat="1" applyFont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left" vertical="center"/>
    </xf>
    <xf numFmtId="42" fontId="4" fillId="0" borderId="0" xfId="0" applyNumberFormat="1" applyFont="1" applyAlignment="1">
      <alignment horizontal="center" vertical="center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center" vertical="center" wrapText="1"/>
    </xf>
    <xf numFmtId="164" fontId="4" fillId="0" borderId="33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165" fontId="4" fillId="0" borderId="33" xfId="0" applyNumberFormat="1" applyFont="1" applyBorder="1" applyAlignment="1">
      <alignment horizontal="center" vertical="center"/>
    </xf>
    <xf numFmtId="9" fontId="4" fillId="0" borderId="33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165" fontId="4" fillId="0" borderId="37" xfId="0" applyNumberFormat="1" applyFont="1" applyBorder="1" applyAlignment="1">
      <alignment horizontal="center" vertical="center"/>
    </xf>
    <xf numFmtId="9" fontId="4" fillId="0" borderId="37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164" fontId="4" fillId="0" borderId="36" xfId="0" applyNumberFormat="1" applyFont="1" applyBorder="1" applyAlignment="1">
      <alignment horizontal="center" vertical="center"/>
    </xf>
    <xf numFmtId="0" fontId="3" fillId="0" borderId="0" xfId="0" applyFont="1"/>
    <xf numFmtId="0" fontId="4" fillId="6" borderId="17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40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center" vertical="center" wrapText="1"/>
    </xf>
    <xf numFmtId="164" fontId="4" fillId="0" borderId="42" xfId="0" applyNumberFormat="1" applyFont="1" applyBorder="1" applyAlignment="1">
      <alignment horizontal="center" vertical="center"/>
    </xf>
    <xf numFmtId="165" fontId="4" fillId="0" borderId="42" xfId="0" applyNumberFormat="1" applyFont="1" applyBorder="1" applyAlignment="1">
      <alignment horizontal="center" vertical="center"/>
    </xf>
    <xf numFmtId="9" fontId="4" fillId="0" borderId="42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3" xfId="0" applyFont="1" applyFill="1" applyBorder="1" applyAlignment="1">
      <alignment horizontal="left" vertical="center" wrapText="1"/>
    </xf>
    <xf numFmtId="164" fontId="4" fillId="6" borderId="25" xfId="0" applyNumberFormat="1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left" vertical="center" wrapText="1"/>
    </xf>
    <xf numFmtId="165" fontId="4" fillId="6" borderId="17" xfId="0" applyNumberFormat="1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164" fontId="4" fillId="0" borderId="37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5" fontId="4" fillId="0" borderId="29" xfId="0" quotePrefix="1" applyNumberFormat="1" applyFont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165" fontId="4" fillId="0" borderId="29" xfId="0" quotePrefix="1" applyNumberFormat="1" applyFont="1" applyBorder="1" applyAlignment="1">
      <alignment horizontal="center" vertical="center"/>
    </xf>
    <xf numFmtId="165" fontId="4" fillId="0" borderId="15" xfId="0" quotePrefix="1" applyNumberFormat="1" applyFont="1" applyBorder="1" applyAlignment="1">
      <alignment horizontal="center" vertical="center"/>
    </xf>
    <xf numFmtId="2" fontId="3" fillId="0" borderId="0" xfId="0" applyNumberFormat="1" applyFont="1"/>
    <xf numFmtId="0" fontId="4" fillId="0" borderId="17" xfId="0" applyFont="1" applyBorder="1" applyAlignment="1">
      <alignment horizontal="center" vertical="center"/>
    </xf>
    <xf numFmtId="165" fontId="4" fillId="0" borderId="17" xfId="0" quotePrefix="1" applyNumberFormat="1" applyFont="1" applyBorder="1" applyAlignment="1">
      <alignment horizontal="center" vertical="center"/>
    </xf>
    <xf numFmtId="165" fontId="4" fillId="0" borderId="18" xfId="0" quotePrefix="1" applyNumberFormat="1" applyFont="1" applyBorder="1" applyAlignment="1">
      <alignment horizontal="center" vertical="center"/>
    </xf>
    <xf numFmtId="165" fontId="4" fillId="0" borderId="33" xfId="0" quotePrefix="1" applyNumberFormat="1" applyFont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center" vertical="center" wrapText="1"/>
    </xf>
    <xf numFmtId="165" fontId="4" fillId="0" borderId="45" xfId="0" quotePrefix="1" applyNumberFormat="1" applyFont="1" applyBorder="1" applyAlignment="1">
      <alignment horizontal="center" vertical="center"/>
    </xf>
    <xf numFmtId="165" fontId="4" fillId="0" borderId="45" xfId="0" applyNumberFormat="1" applyFont="1" applyBorder="1" applyAlignment="1">
      <alignment horizontal="center" vertical="center"/>
    </xf>
    <xf numFmtId="9" fontId="4" fillId="0" borderId="4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" fontId="4" fillId="0" borderId="29" xfId="0" applyNumberFormat="1" applyFont="1" applyBorder="1" applyAlignment="1">
      <alignment horizontal="center" vertical="center"/>
    </xf>
    <xf numFmtId="2" fontId="3" fillId="5" borderId="46" xfId="0" applyNumberFormat="1" applyFont="1" applyFill="1" applyBorder="1" applyAlignment="1">
      <alignment horizontal="center" vertical="center"/>
    </xf>
    <xf numFmtId="2" fontId="3" fillId="0" borderId="46" xfId="0" applyNumberFormat="1" applyFont="1" applyBorder="1" applyAlignment="1">
      <alignment horizontal="center" vertical="center"/>
    </xf>
    <xf numFmtId="42" fontId="3" fillId="0" borderId="0" xfId="0" applyNumberFormat="1" applyFont="1"/>
    <xf numFmtId="165" fontId="3" fillId="0" borderId="0" xfId="0" applyNumberFormat="1" applyFont="1"/>
    <xf numFmtId="9" fontId="4" fillId="0" borderId="17" xfId="0" applyNumberFormat="1" applyFont="1" applyBorder="1" applyAlignment="1">
      <alignment horizontal="center" vertical="center" wrapText="1"/>
    </xf>
    <xf numFmtId="2" fontId="3" fillId="5" borderId="12" xfId="0" applyNumberFormat="1" applyFont="1" applyFill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 wrapText="1"/>
    </xf>
    <xf numFmtId="2" fontId="4" fillId="0" borderId="17" xfId="0" applyNumberFormat="1" applyFont="1" applyBorder="1" applyAlignment="1">
      <alignment horizontal="center" vertical="center"/>
    </xf>
    <xf numFmtId="1" fontId="3" fillId="5" borderId="12" xfId="0" applyNumberFormat="1" applyFont="1" applyFill="1" applyBorder="1" applyAlignment="1">
      <alignment horizontal="center" vertical="center"/>
    </xf>
    <xf numFmtId="3" fontId="3" fillId="0" borderId="0" xfId="0" applyNumberFormat="1" applyFont="1"/>
    <xf numFmtId="1" fontId="4" fillId="0" borderId="17" xfId="0" quotePrefix="1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0" xfId="0" applyNumberFormat="1" applyFont="1"/>
    <xf numFmtId="42" fontId="3" fillId="0" borderId="0" xfId="1" applyFont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/>
    </xf>
    <xf numFmtId="0" fontId="4" fillId="8" borderId="31" xfId="0" applyFont="1" applyFill="1" applyBorder="1" applyAlignment="1">
      <alignment horizontal="left" vertical="center" wrapText="1"/>
    </xf>
    <xf numFmtId="0" fontId="4" fillId="9" borderId="16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left" vertical="center" wrapText="1"/>
    </xf>
    <xf numFmtId="0" fontId="4" fillId="9" borderId="17" xfId="0" applyFont="1" applyFill="1" applyBorder="1" applyAlignment="1">
      <alignment horizontal="center" vertical="center" wrapText="1"/>
    </xf>
    <xf numFmtId="165" fontId="4" fillId="9" borderId="17" xfId="0" quotePrefix="1" applyNumberFormat="1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 wrapText="1"/>
    </xf>
    <xf numFmtId="165" fontId="4" fillId="9" borderId="17" xfId="0" applyNumberFormat="1" applyFont="1" applyFill="1" applyBorder="1" applyAlignment="1">
      <alignment horizontal="center" vertical="center"/>
    </xf>
    <xf numFmtId="9" fontId="4" fillId="9" borderId="17" xfId="0" applyNumberFormat="1" applyFont="1" applyFill="1" applyBorder="1" applyAlignment="1">
      <alignment horizontal="center" vertical="center"/>
    </xf>
    <xf numFmtId="164" fontId="4" fillId="9" borderId="17" xfId="0" applyNumberFormat="1" applyFont="1" applyFill="1" applyBorder="1" applyAlignment="1">
      <alignment horizontal="center" vertical="center"/>
    </xf>
    <xf numFmtId="2" fontId="3" fillId="9" borderId="0" xfId="0" applyNumberFormat="1" applyFont="1" applyFill="1"/>
    <xf numFmtId="1" fontId="4" fillId="9" borderId="15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9" borderId="0" xfId="0" applyFill="1"/>
    <xf numFmtId="0" fontId="3" fillId="9" borderId="0" xfId="0" applyFont="1" applyFill="1"/>
    <xf numFmtId="0" fontId="4" fillId="10" borderId="17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 wrapText="1"/>
    </xf>
    <xf numFmtId="9" fontId="0" fillId="0" borderId="0" xfId="2" applyFont="1"/>
    <xf numFmtId="0" fontId="4" fillId="8" borderId="15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8" borderId="37" xfId="0" applyFont="1" applyFill="1" applyBorder="1" applyAlignment="1">
      <alignment horizontal="center" vertical="center" wrapText="1"/>
    </xf>
    <xf numFmtId="0" fontId="4" fillId="8" borderId="29" xfId="0" applyFont="1" applyFill="1" applyBorder="1" applyAlignment="1">
      <alignment horizontal="center" vertical="center" wrapText="1"/>
    </xf>
    <xf numFmtId="0" fontId="4" fillId="8" borderId="33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left" vertical="center"/>
    </xf>
    <xf numFmtId="0" fontId="2" fillId="0" borderId="21" xfId="0" applyFont="1" applyBorder="1"/>
    <xf numFmtId="0" fontId="2" fillId="0" borderId="22" xfId="0" applyFont="1" applyBorder="1"/>
    <xf numFmtId="0" fontId="5" fillId="3" borderId="20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2" fillId="0" borderId="8" xfId="0" applyFont="1" applyBorder="1"/>
    <xf numFmtId="0" fontId="2" fillId="0" borderId="9" xfId="0" applyFont="1" applyBorder="1"/>
    <xf numFmtId="0" fontId="1" fillId="6" borderId="20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/>
    <xf numFmtId="0" fontId="4" fillId="0" borderId="24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2" fontId="0" fillId="0" borderId="0" xfId="0" applyNumberFormat="1"/>
  </cellXfs>
  <cellStyles count="3">
    <cellStyle name="Moneda [0]" xfId="1" builtinId="7"/>
    <cellStyle name="Normal" xfId="0" builtinId="0"/>
    <cellStyle name="Porcentaje" xfId="2" builtinId="5"/>
  </cellStyles>
  <dxfs count="22"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NULL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NULL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ego Roman" id="{D3ED3E98-0491-490F-A094-5A98017A82B6}" userId="0907e9c225277684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02" dT="2026-08-24T20:49:46.73" personId="{D3ED3E98-0491-490F-A094-5A98017A82B6}" id="{7D3CB093-5E5B-44CE-B3D9-7E929618E0E6}">
    <text xml:space="preserve">1.8 cada sal + 0.5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1001"/>
  <sheetViews>
    <sheetView showGridLines="0" tabSelected="1" topLeftCell="D1" zoomScale="78" zoomScaleNormal="78" workbookViewId="0">
      <pane ySplit="1" topLeftCell="A94" activePane="bottomLeft" state="frozen"/>
      <selection pane="bottomLeft" activeCell="Y97" sqref="Y97"/>
    </sheetView>
  </sheetViews>
  <sheetFormatPr baseColWidth="10" defaultColWidth="12.6640625" defaultRowHeight="15" customHeight="1" x14ac:dyDescent="0.2"/>
  <cols>
    <col min="1" max="1" width="11.33203125" customWidth="1"/>
    <col min="2" max="2" width="78.33203125" customWidth="1"/>
    <col min="3" max="3" width="49.33203125" customWidth="1"/>
    <col min="4" max="4" width="52.33203125" customWidth="1"/>
    <col min="5" max="5" width="13.33203125" customWidth="1"/>
    <col min="6" max="6" width="14.77734375" customWidth="1"/>
    <col min="7" max="7" width="14.77734375" hidden="1" customWidth="1"/>
    <col min="8" max="8" width="14.77734375" customWidth="1"/>
    <col min="9" max="9" width="14.77734375" hidden="1" customWidth="1"/>
    <col min="10" max="10" width="6.88671875" hidden="1" customWidth="1"/>
    <col min="11" max="11" width="14.77734375" customWidth="1"/>
    <col min="12" max="12" width="14" customWidth="1"/>
    <col min="13" max="15" width="11" hidden="1" customWidth="1"/>
    <col min="16" max="16" width="14.6640625" hidden="1" customWidth="1"/>
    <col min="17" max="19" width="11" hidden="1" customWidth="1"/>
    <col min="20" max="26" width="11" customWidth="1"/>
  </cols>
  <sheetData>
    <row r="1" spans="1:25" ht="27" customHeight="1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9</v>
      </c>
      <c r="L1" s="7" t="s">
        <v>8</v>
      </c>
      <c r="W1" t="s">
        <v>5</v>
      </c>
      <c r="X1" t="s">
        <v>572</v>
      </c>
      <c r="Y1" t="s">
        <v>573</v>
      </c>
    </row>
    <row r="2" spans="1:25" ht="20.25" customHeight="1" thickBot="1" x14ac:dyDescent="0.25">
      <c r="A2" s="171" t="s">
        <v>10</v>
      </c>
      <c r="B2" s="172"/>
      <c r="C2" s="172"/>
      <c r="D2" s="172"/>
      <c r="E2" s="172"/>
      <c r="F2" s="172"/>
      <c r="G2" s="172"/>
      <c r="H2" s="172"/>
      <c r="I2" s="172"/>
      <c r="J2" s="173"/>
      <c r="K2" s="8"/>
      <c r="L2" s="9"/>
    </row>
    <row r="3" spans="1:25" ht="19.5" customHeight="1" thickBot="1" x14ac:dyDescent="0.25">
      <c r="A3" s="10" t="s">
        <v>11</v>
      </c>
      <c r="B3" s="167" t="s">
        <v>12</v>
      </c>
      <c r="C3" s="168"/>
      <c r="D3" s="168"/>
      <c r="E3" s="168"/>
      <c r="F3" s="168"/>
      <c r="G3" s="168"/>
      <c r="H3" s="168"/>
      <c r="I3" s="168"/>
      <c r="J3" s="169"/>
      <c r="K3" s="8"/>
      <c r="L3" s="9"/>
    </row>
    <row r="4" spans="1:25" ht="19.5" customHeight="1" thickBot="1" x14ac:dyDescent="0.25">
      <c r="A4" s="11" t="s">
        <v>13</v>
      </c>
      <c r="B4" s="12" t="s">
        <v>14</v>
      </c>
      <c r="C4" s="13"/>
      <c r="D4" s="13"/>
      <c r="E4" s="13"/>
      <c r="F4" s="13"/>
      <c r="G4" s="13"/>
      <c r="H4" s="13"/>
      <c r="I4" s="13"/>
      <c r="J4" s="13"/>
      <c r="K4" s="13"/>
      <c r="L4" s="9"/>
    </row>
    <row r="5" spans="1:25" ht="102" customHeight="1" thickBot="1" x14ac:dyDescent="0.25">
      <c r="A5" s="14">
        <v>1</v>
      </c>
      <c r="B5" s="15" t="s">
        <v>479</v>
      </c>
      <c r="C5" s="158" t="s">
        <v>592</v>
      </c>
      <c r="D5" s="17">
        <v>30</v>
      </c>
      <c r="E5" s="18" t="s">
        <v>15</v>
      </c>
      <c r="F5" s="19">
        <v>2.61</v>
      </c>
      <c r="G5" s="19">
        <v>2.61</v>
      </c>
      <c r="H5" s="20">
        <f t="shared" ref="H5:H21" si="0">IFERROR(+(F5/G5)-1,"--")</f>
        <v>0</v>
      </c>
      <c r="I5" s="17">
        <v>23400121</v>
      </c>
      <c r="J5" s="17">
        <v>1817</v>
      </c>
      <c r="K5" s="21">
        <v>1817</v>
      </c>
      <c r="L5" s="9">
        <v>23400121</v>
      </c>
      <c r="W5">
        <v>2.61</v>
      </c>
      <c r="X5">
        <v>1</v>
      </c>
      <c r="Y5">
        <f>W5*X5</f>
        <v>2.61</v>
      </c>
    </row>
    <row r="6" spans="1:25" ht="48" customHeight="1" thickBot="1" x14ac:dyDescent="0.25">
      <c r="A6" s="22">
        <f t="shared" ref="A6:A22" si="1">+A5+1</f>
        <v>2</v>
      </c>
      <c r="B6" s="23" t="s">
        <v>16</v>
      </c>
      <c r="C6" s="159" t="s">
        <v>599</v>
      </c>
      <c r="D6" s="25">
        <v>30</v>
      </c>
      <c r="E6" s="26" t="s">
        <v>15</v>
      </c>
      <c r="F6" s="27">
        <v>1.58</v>
      </c>
      <c r="G6" s="27">
        <v>1.58</v>
      </c>
      <c r="H6" s="28">
        <f t="shared" si="0"/>
        <v>0</v>
      </c>
      <c r="I6" s="25">
        <v>23400002</v>
      </c>
      <c r="K6" s="21">
        <v>1817</v>
      </c>
      <c r="L6" s="9"/>
      <c r="W6">
        <v>1.58</v>
      </c>
      <c r="X6">
        <v>1</v>
      </c>
      <c r="Y6">
        <f t="shared" ref="Y6:Y69" si="2">W6*X6</f>
        <v>1.58</v>
      </c>
    </row>
    <row r="7" spans="1:25" ht="48" customHeight="1" thickBot="1" x14ac:dyDescent="0.25">
      <c r="A7" s="22">
        <f t="shared" si="1"/>
        <v>3</v>
      </c>
      <c r="B7" s="23" t="s">
        <v>17</v>
      </c>
      <c r="C7" s="159" t="s">
        <v>593</v>
      </c>
      <c r="D7" s="25">
        <v>2</v>
      </c>
      <c r="E7" s="26" t="s">
        <v>15</v>
      </c>
      <c r="F7" s="27">
        <v>0.82</v>
      </c>
      <c r="G7" s="27">
        <v>0.82</v>
      </c>
      <c r="H7" s="28">
        <f t="shared" si="0"/>
        <v>0</v>
      </c>
      <c r="I7" s="25">
        <v>23400123</v>
      </c>
      <c r="K7" s="21">
        <v>1817</v>
      </c>
      <c r="L7" s="9">
        <v>38209.879999999997</v>
      </c>
      <c r="M7">
        <v>850</v>
      </c>
      <c r="W7">
        <v>0.82</v>
      </c>
      <c r="X7">
        <v>1</v>
      </c>
      <c r="Y7">
        <f t="shared" si="2"/>
        <v>0.82</v>
      </c>
    </row>
    <row r="8" spans="1:25" ht="48" customHeight="1" thickBot="1" x14ac:dyDescent="0.25">
      <c r="A8" s="22">
        <f t="shared" si="1"/>
        <v>4</v>
      </c>
      <c r="B8" s="23" t="s">
        <v>18</v>
      </c>
      <c r="C8" s="159" t="s">
        <v>595</v>
      </c>
      <c r="D8" s="25">
        <v>2</v>
      </c>
      <c r="E8" s="26" t="s">
        <v>15</v>
      </c>
      <c r="F8" s="27">
        <v>0.81</v>
      </c>
      <c r="G8" s="27">
        <v>0.81</v>
      </c>
      <c r="H8" s="28">
        <f t="shared" si="0"/>
        <v>0</v>
      </c>
      <c r="I8" s="25">
        <v>23400124</v>
      </c>
      <c r="K8" s="21">
        <v>1817</v>
      </c>
      <c r="L8" s="138">
        <f>+F8*L7</f>
        <v>30950.002799999998</v>
      </c>
      <c r="M8">
        <f>+L8/M7</f>
        <v>36.411767999999995</v>
      </c>
      <c r="W8">
        <v>0.81</v>
      </c>
      <c r="X8">
        <v>1</v>
      </c>
      <c r="Y8">
        <f t="shared" si="2"/>
        <v>0.81</v>
      </c>
    </row>
    <row r="9" spans="1:25" ht="48" customHeight="1" thickBot="1" x14ac:dyDescent="0.25">
      <c r="A9" s="22">
        <f t="shared" si="1"/>
        <v>5</v>
      </c>
      <c r="B9" s="23" t="s">
        <v>19</v>
      </c>
      <c r="C9" s="159" t="s">
        <v>590</v>
      </c>
      <c r="D9" s="25">
        <v>80</v>
      </c>
      <c r="E9" s="26" t="s">
        <v>15</v>
      </c>
      <c r="F9" s="27">
        <v>1.44</v>
      </c>
      <c r="G9" s="27">
        <v>1.44</v>
      </c>
      <c r="H9" s="28">
        <f t="shared" si="0"/>
        <v>0</v>
      </c>
      <c r="I9" s="25">
        <v>23400125</v>
      </c>
      <c r="K9" s="21">
        <v>1817</v>
      </c>
      <c r="L9" s="138">
        <f>+F9*L7</f>
        <v>55022.227199999994</v>
      </c>
      <c r="M9">
        <f>+L9/M7</f>
        <v>64.73203199999999</v>
      </c>
      <c r="W9">
        <v>1.44</v>
      </c>
      <c r="X9">
        <v>1</v>
      </c>
      <c r="Y9">
        <f t="shared" si="2"/>
        <v>1.44</v>
      </c>
    </row>
    <row r="10" spans="1:25" ht="48" customHeight="1" thickBot="1" x14ac:dyDescent="0.25">
      <c r="A10" s="22">
        <f t="shared" si="1"/>
        <v>6</v>
      </c>
      <c r="B10" s="23" t="s">
        <v>20</v>
      </c>
      <c r="C10" s="159" t="s">
        <v>21</v>
      </c>
      <c r="D10" s="25">
        <v>2</v>
      </c>
      <c r="E10" s="26" t="s">
        <v>15</v>
      </c>
      <c r="F10" s="27">
        <v>0.28999999999999998</v>
      </c>
      <c r="G10" s="27">
        <v>0.28999999999999998</v>
      </c>
      <c r="H10" s="28">
        <f t="shared" si="0"/>
        <v>0</v>
      </c>
      <c r="I10" s="25">
        <v>23400126</v>
      </c>
      <c r="K10" s="21">
        <v>1817</v>
      </c>
      <c r="L10" s="9">
        <v>23400126</v>
      </c>
      <c r="W10">
        <v>0.28999999999999998</v>
      </c>
      <c r="X10">
        <v>1</v>
      </c>
      <c r="Y10">
        <f t="shared" si="2"/>
        <v>0.28999999999999998</v>
      </c>
    </row>
    <row r="11" spans="1:25" ht="48" customHeight="1" thickBot="1" x14ac:dyDescent="0.25">
      <c r="A11" s="22">
        <f t="shared" si="1"/>
        <v>7</v>
      </c>
      <c r="B11" s="23" t="s">
        <v>22</v>
      </c>
      <c r="C11" s="24" t="s">
        <v>513</v>
      </c>
      <c r="D11" s="25" t="s">
        <v>23</v>
      </c>
      <c r="E11" s="26" t="s">
        <v>15</v>
      </c>
      <c r="F11" s="27">
        <v>0.45</v>
      </c>
      <c r="G11" s="27">
        <v>0.45</v>
      </c>
      <c r="H11" s="28">
        <f t="shared" si="0"/>
        <v>0</v>
      </c>
      <c r="I11" s="25">
        <v>23400127</v>
      </c>
      <c r="K11" s="21">
        <v>1817</v>
      </c>
      <c r="L11" s="9"/>
      <c r="W11">
        <v>0.45</v>
      </c>
      <c r="X11">
        <v>1</v>
      </c>
      <c r="Y11">
        <f t="shared" si="2"/>
        <v>0.45</v>
      </c>
    </row>
    <row r="12" spans="1:25" ht="48" customHeight="1" thickBot="1" x14ac:dyDescent="0.25">
      <c r="A12" s="22">
        <f t="shared" si="1"/>
        <v>8</v>
      </c>
      <c r="B12" s="23" t="s">
        <v>24</v>
      </c>
      <c r="C12" s="24" t="s">
        <v>514</v>
      </c>
      <c r="D12" s="25">
        <v>2</v>
      </c>
      <c r="E12" s="26" t="s">
        <v>15</v>
      </c>
      <c r="F12" s="27">
        <v>2.91</v>
      </c>
      <c r="G12" s="27">
        <v>2.91</v>
      </c>
      <c r="H12" s="28">
        <f t="shared" si="0"/>
        <v>0</v>
      </c>
      <c r="I12" s="25">
        <v>23400128</v>
      </c>
      <c r="K12" s="21">
        <v>1817</v>
      </c>
      <c r="L12" s="9">
        <v>23400128</v>
      </c>
      <c r="W12">
        <v>2.91</v>
      </c>
      <c r="X12">
        <v>1</v>
      </c>
      <c r="Y12">
        <f t="shared" si="2"/>
        <v>2.91</v>
      </c>
    </row>
    <row r="13" spans="1:25" ht="48" customHeight="1" thickBot="1" x14ac:dyDescent="0.25">
      <c r="A13" s="22">
        <f t="shared" si="1"/>
        <v>9</v>
      </c>
      <c r="B13" s="23" t="s">
        <v>25</v>
      </c>
      <c r="C13" s="24" t="s">
        <v>512</v>
      </c>
      <c r="D13" s="25">
        <v>5</v>
      </c>
      <c r="E13" s="26" t="s">
        <v>26</v>
      </c>
      <c r="F13" s="27">
        <v>6.91</v>
      </c>
      <c r="G13" s="27">
        <v>6.34</v>
      </c>
      <c r="H13" s="28">
        <f t="shared" si="0"/>
        <v>8.9905362776025344E-2</v>
      </c>
      <c r="I13" s="25">
        <v>23400129</v>
      </c>
      <c r="K13" s="21">
        <v>1817</v>
      </c>
      <c r="L13" s="9" t="s">
        <v>586</v>
      </c>
      <c r="W13">
        <v>6.91</v>
      </c>
      <c r="X13">
        <v>1.06</v>
      </c>
      <c r="Y13">
        <f t="shared" si="2"/>
        <v>7.3246000000000002</v>
      </c>
    </row>
    <row r="14" spans="1:25" ht="48" customHeight="1" thickBot="1" x14ac:dyDescent="0.25">
      <c r="A14" s="22">
        <f t="shared" si="1"/>
        <v>10</v>
      </c>
      <c r="B14" s="23" t="s">
        <v>488</v>
      </c>
      <c r="C14" s="24" t="s">
        <v>27</v>
      </c>
      <c r="D14" s="25">
        <v>2</v>
      </c>
      <c r="E14" s="26" t="s">
        <v>15</v>
      </c>
      <c r="F14" s="27">
        <v>2</v>
      </c>
      <c r="G14" s="27">
        <v>1.24</v>
      </c>
      <c r="H14" s="28">
        <f t="shared" si="0"/>
        <v>0.61290322580645173</v>
      </c>
      <c r="I14" s="25">
        <v>23400130</v>
      </c>
      <c r="K14" s="21">
        <v>1817</v>
      </c>
      <c r="L14" s="9"/>
      <c r="W14">
        <v>2</v>
      </c>
      <c r="X14">
        <v>1</v>
      </c>
      <c r="Y14">
        <f t="shared" si="2"/>
        <v>2</v>
      </c>
    </row>
    <row r="15" spans="1:25" ht="48" customHeight="1" thickBot="1" x14ac:dyDescent="0.25">
      <c r="A15" s="22">
        <f t="shared" si="1"/>
        <v>11</v>
      </c>
      <c r="B15" s="23" t="s">
        <v>28</v>
      </c>
      <c r="C15" s="159" t="s">
        <v>511</v>
      </c>
      <c r="D15" s="25" t="s">
        <v>29</v>
      </c>
      <c r="E15" s="26" t="s">
        <v>15</v>
      </c>
      <c r="F15" s="27">
        <v>0.76</v>
      </c>
      <c r="G15" s="27">
        <v>0.76</v>
      </c>
      <c r="H15" s="28">
        <f t="shared" si="0"/>
        <v>0</v>
      </c>
      <c r="I15" s="25">
        <v>23400131</v>
      </c>
      <c r="K15" s="21">
        <v>1817</v>
      </c>
      <c r="L15" s="9"/>
      <c r="W15">
        <v>0.76</v>
      </c>
      <c r="X15">
        <v>1</v>
      </c>
      <c r="Y15">
        <f t="shared" si="2"/>
        <v>0.76</v>
      </c>
    </row>
    <row r="16" spans="1:25" ht="48" customHeight="1" thickBot="1" x14ac:dyDescent="0.25">
      <c r="A16" s="22">
        <f t="shared" si="1"/>
        <v>12</v>
      </c>
      <c r="B16" s="23" t="s">
        <v>30</v>
      </c>
      <c r="C16" s="159" t="s">
        <v>31</v>
      </c>
      <c r="D16" s="25">
        <v>60</v>
      </c>
      <c r="E16" s="26" t="s">
        <v>15</v>
      </c>
      <c r="F16" s="27">
        <v>2.2999999999999998</v>
      </c>
      <c r="G16" s="27">
        <v>2.2999999999999998</v>
      </c>
      <c r="H16" s="28">
        <f t="shared" si="0"/>
        <v>0</v>
      </c>
      <c r="I16" s="25">
        <v>23400132</v>
      </c>
      <c r="K16" s="21">
        <v>1817</v>
      </c>
      <c r="L16" s="9">
        <v>23400132</v>
      </c>
      <c r="W16">
        <v>2.2999999999999998</v>
      </c>
      <c r="X16">
        <v>1</v>
      </c>
      <c r="Y16">
        <f t="shared" si="2"/>
        <v>2.2999999999999998</v>
      </c>
    </row>
    <row r="17" spans="1:25" ht="48" customHeight="1" thickBot="1" x14ac:dyDescent="0.25">
      <c r="A17" s="22">
        <f t="shared" si="1"/>
        <v>13</v>
      </c>
      <c r="B17" s="23" t="s">
        <v>32</v>
      </c>
      <c r="C17" s="159" t="s">
        <v>596</v>
      </c>
      <c r="D17" s="25">
        <v>40</v>
      </c>
      <c r="E17" s="26" t="s">
        <v>15</v>
      </c>
      <c r="F17" s="27">
        <v>1.94</v>
      </c>
      <c r="G17" s="27">
        <v>1.94</v>
      </c>
      <c r="H17" s="28">
        <f t="shared" si="0"/>
        <v>0</v>
      </c>
      <c r="I17" s="25">
        <v>23400133</v>
      </c>
      <c r="K17" s="21">
        <v>1817</v>
      </c>
      <c r="L17" s="9">
        <v>23400133</v>
      </c>
      <c r="W17">
        <v>1.94</v>
      </c>
      <c r="X17">
        <v>1</v>
      </c>
      <c r="Y17">
        <f t="shared" si="2"/>
        <v>1.94</v>
      </c>
    </row>
    <row r="18" spans="1:25" ht="48" customHeight="1" thickBot="1" x14ac:dyDescent="0.25">
      <c r="A18" s="22">
        <f t="shared" si="1"/>
        <v>14</v>
      </c>
      <c r="B18" s="23" t="s">
        <v>33</v>
      </c>
      <c r="C18" s="159" t="s">
        <v>594</v>
      </c>
      <c r="D18" s="25">
        <v>40</v>
      </c>
      <c r="E18" s="26" t="s">
        <v>15</v>
      </c>
      <c r="F18" s="27">
        <v>1.77</v>
      </c>
      <c r="G18" s="27">
        <v>1.77</v>
      </c>
      <c r="H18" s="28">
        <f t="shared" si="0"/>
        <v>0</v>
      </c>
      <c r="I18" s="25">
        <v>23400134</v>
      </c>
      <c r="K18" s="21">
        <v>1817</v>
      </c>
      <c r="L18" s="9"/>
      <c r="W18">
        <v>1.77</v>
      </c>
      <c r="X18">
        <v>1</v>
      </c>
      <c r="Y18">
        <f t="shared" si="2"/>
        <v>1.77</v>
      </c>
    </row>
    <row r="19" spans="1:25" ht="48" customHeight="1" thickBot="1" x14ac:dyDescent="0.25">
      <c r="A19" s="22">
        <f t="shared" si="1"/>
        <v>15</v>
      </c>
      <c r="B19" s="23" t="s">
        <v>34</v>
      </c>
      <c r="C19" s="159" t="s">
        <v>591</v>
      </c>
      <c r="D19" s="25">
        <v>40</v>
      </c>
      <c r="E19" s="26" t="s">
        <v>15</v>
      </c>
      <c r="F19" s="27">
        <v>2.59</v>
      </c>
      <c r="G19" s="27">
        <v>2.59</v>
      </c>
      <c r="H19" s="28">
        <f t="shared" si="0"/>
        <v>0</v>
      </c>
      <c r="I19" s="25">
        <v>23400135</v>
      </c>
      <c r="K19" s="21">
        <v>1817</v>
      </c>
      <c r="L19" s="9"/>
      <c r="W19">
        <v>2.59</v>
      </c>
      <c r="X19">
        <v>1</v>
      </c>
      <c r="Y19">
        <f t="shared" si="2"/>
        <v>2.59</v>
      </c>
    </row>
    <row r="20" spans="1:25" ht="48" customHeight="1" thickBot="1" x14ac:dyDescent="0.25">
      <c r="A20" s="22">
        <f t="shared" si="1"/>
        <v>16</v>
      </c>
      <c r="B20" s="23" t="s">
        <v>35</v>
      </c>
      <c r="C20" s="24" t="s">
        <v>36</v>
      </c>
      <c r="D20" s="25" t="s">
        <v>23</v>
      </c>
      <c r="E20" s="26" t="s">
        <v>15</v>
      </c>
      <c r="F20" s="27">
        <v>0.63</v>
      </c>
      <c r="G20" s="27">
        <v>0.63</v>
      </c>
      <c r="H20" s="28">
        <f t="shared" si="0"/>
        <v>0</v>
      </c>
      <c r="I20" s="25">
        <v>23400136</v>
      </c>
      <c r="K20" s="21">
        <v>1817</v>
      </c>
      <c r="L20" s="9"/>
      <c r="W20">
        <v>0.63</v>
      </c>
      <c r="X20">
        <v>1</v>
      </c>
      <c r="Y20">
        <f t="shared" si="2"/>
        <v>0.63</v>
      </c>
    </row>
    <row r="21" spans="1:25" ht="48" customHeight="1" thickBot="1" x14ac:dyDescent="0.25">
      <c r="A21" s="22">
        <f t="shared" si="1"/>
        <v>17</v>
      </c>
      <c r="B21" s="23" t="s">
        <v>37</v>
      </c>
      <c r="C21" s="24" t="s">
        <v>38</v>
      </c>
      <c r="D21" s="25" t="s">
        <v>23</v>
      </c>
      <c r="E21" s="26" t="s">
        <v>15</v>
      </c>
      <c r="F21" s="27">
        <v>1.76</v>
      </c>
      <c r="G21" s="27">
        <v>1.76</v>
      </c>
      <c r="H21" s="28">
        <f t="shared" si="0"/>
        <v>0</v>
      </c>
      <c r="I21" s="29">
        <v>23400137</v>
      </c>
      <c r="K21" s="21">
        <v>1817</v>
      </c>
      <c r="L21" s="9"/>
      <c r="W21">
        <v>1.76</v>
      </c>
      <c r="X21">
        <v>1</v>
      </c>
      <c r="Y21">
        <f t="shared" si="2"/>
        <v>1.76</v>
      </c>
    </row>
    <row r="22" spans="1:25" ht="48" customHeight="1" thickBot="1" x14ac:dyDescent="0.25">
      <c r="A22" s="22">
        <f t="shared" si="1"/>
        <v>18</v>
      </c>
      <c r="B22" s="23" t="s">
        <v>39</v>
      </c>
      <c r="C22" s="24" t="s">
        <v>40</v>
      </c>
      <c r="D22" s="30" t="s">
        <v>23</v>
      </c>
      <c r="E22" s="31" t="s">
        <v>15</v>
      </c>
      <c r="F22" s="27">
        <v>9.1</v>
      </c>
      <c r="G22" s="27"/>
      <c r="H22" s="28"/>
      <c r="I22" s="25"/>
      <c r="K22" s="21">
        <v>1817</v>
      </c>
      <c r="L22" s="9"/>
      <c r="W22">
        <v>9.1</v>
      </c>
      <c r="X22">
        <v>1</v>
      </c>
      <c r="Y22">
        <f t="shared" si="2"/>
        <v>9.1</v>
      </c>
    </row>
    <row r="23" spans="1:25" ht="19.5" customHeight="1" thickBot="1" x14ac:dyDescent="0.25">
      <c r="A23" s="11" t="s">
        <v>41</v>
      </c>
      <c r="B23" s="12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9"/>
      <c r="Y23">
        <f t="shared" si="2"/>
        <v>0</v>
      </c>
    </row>
    <row r="24" spans="1:25" ht="48" customHeight="1" thickBot="1" x14ac:dyDescent="0.25">
      <c r="A24" s="22">
        <f>+A22+1</f>
        <v>19</v>
      </c>
      <c r="B24" s="23" t="s">
        <v>43</v>
      </c>
      <c r="C24" s="24" t="s">
        <v>44</v>
      </c>
      <c r="D24" s="25">
        <v>100</v>
      </c>
      <c r="E24" s="26" t="s">
        <v>15</v>
      </c>
      <c r="F24" s="27">
        <v>3.5</v>
      </c>
      <c r="G24" s="27">
        <v>0</v>
      </c>
      <c r="H24" s="28" t="str">
        <f t="shared" ref="H24:H32" si="3">IFERROR(+(F24/G24)-1,"--")</f>
        <v>--</v>
      </c>
      <c r="I24" s="25"/>
      <c r="K24" s="21">
        <v>1817</v>
      </c>
      <c r="L24" s="79">
        <v>0.06</v>
      </c>
      <c r="W24">
        <v>2</v>
      </c>
      <c r="X24">
        <v>1.06</v>
      </c>
      <c r="Y24">
        <f t="shared" si="2"/>
        <v>2.12</v>
      </c>
    </row>
    <row r="25" spans="1:25" ht="48" customHeight="1" thickBot="1" x14ac:dyDescent="0.25">
      <c r="A25" s="22">
        <f t="shared" ref="A25:A32" si="4">+A24+1</f>
        <v>20</v>
      </c>
      <c r="B25" s="23" t="s">
        <v>45</v>
      </c>
      <c r="C25" s="24" t="s">
        <v>44</v>
      </c>
      <c r="D25" s="25">
        <v>200</v>
      </c>
      <c r="E25" s="26" t="s">
        <v>15</v>
      </c>
      <c r="F25" s="27">
        <v>6</v>
      </c>
      <c r="G25" s="27">
        <v>0</v>
      </c>
      <c r="H25" s="28" t="str">
        <f t="shared" si="3"/>
        <v>--</v>
      </c>
      <c r="I25" s="25"/>
      <c r="K25" s="21">
        <v>1817</v>
      </c>
      <c r="L25" s="9"/>
      <c r="W25">
        <v>3</v>
      </c>
      <c r="X25">
        <v>1.06</v>
      </c>
      <c r="Y25">
        <f t="shared" si="2"/>
        <v>3.18</v>
      </c>
    </row>
    <row r="26" spans="1:25" ht="48" customHeight="1" thickBot="1" x14ac:dyDescent="0.25">
      <c r="A26" s="22">
        <f t="shared" si="4"/>
        <v>21</v>
      </c>
      <c r="B26" s="23" t="s">
        <v>46</v>
      </c>
      <c r="C26" s="24" t="s">
        <v>44</v>
      </c>
      <c r="D26" s="25">
        <v>1000</v>
      </c>
      <c r="E26" s="26" t="s">
        <v>15</v>
      </c>
      <c r="F26" s="27">
        <v>40</v>
      </c>
      <c r="G26" s="27">
        <v>0</v>
      </c>
      <c r="H26" s="28" t="str">
        <f t="shared" si="3"/>
        <v>--</v>
      </c>
      <c r="I26" s="25"/>
      <c r="K26" s="21">
        <v>1817</v>
      </c>
      <c r="L26" s="9"/>
      <c r="W26">
        <v>40</v>
      </c>
      <c r="X26">
        <v>1.06</v>
      </c>
      <c r="Y26">
        <f t="shared" si="2"/>
        <v>42.400000000000006</v>
      </c>
    </row>
    <row r="27" spans="1:25" ht="48" customHeight="1" thickBot="1" x14ac:dyDescent="0.25">
      <c r="A27" s="22">
        <f t="shared" si="4"/>
        <v>22</v>
      </c>
      <c r="B27" s="23" t="s">
        <v>47</v>
      </c>
      <c r="C27" s="24" t="s">
        <v>44</v>
      </c>
      <c r="D27" s="25">
        <v>100</v>
      </c>
      <c r="E27" s="26" t="s">
        <v>15</v>
      </c>
      <c r="F27" s="27">
        <v>10</v>
      </c>
      <c r="G27" s="27">
        <v>0</v>
      </c>
      <c r="H27" s="28" t="str">
        <f t="shared" si="3"/>
        <v>--</v>
      </c>
      <c r="I27" s="25"/>
      <c r="K27" s="21">
        <v>1817</v>
      </c>
      <c r="L27" s="9"/>
      <c r="W27">
        <v>5</v>
      </c>
      <c r="X27">
        <v>1.06</v>
      </c>
      <c r="Y27">
        <f t="shared" si="2"/>
        <v>5.3000000000000007</v>
      </c>
    </row>
    <row r="28" spans="1:25" ht="48" customHeight="1" thickBot="1" x14ac:dyDescent="0.25">
      <c r="A28" s="22">
        <f t="shared" si="4"/>
        <v>23</v>
      </c>
      <c r="B28" s="23" t="s">
        <v>48</v>
      </c>
      <c r="C28" s="24" t="s">
        <v>44</v>
      </c>
      <c r="D28" s="25">
        <v>200</v>
      </c>
      <c r="E28" s="26" t="s">
        <v>15</v>
      </c>
      <c r="F28" s="27">
        <v>14</v>
      </c>
      <c r="G28" s="27">
        <v>0</v>
      </c>
      <c r="H28" s="28" t="str">
        <f t="shared" si="3"/>
        <v>--</v>
      </c>
      <c r="I28" s="25"/>
      <c r="K28" s="21">
        <v>1817</v>
      </c>
      <c r="L28" s="9"/>
      <c r="W28">
        <v>8</v>
      </c>
      <c r="X28">
        <v>1.06</v>
      </c>
      <c r="Y28">
        <f t="shared" si="2"/>
        <v>8.48</v>
      </c>
    </row>
    <row r="29" spans="1:25" ht="48" customHeight="1" thickBot="1" x14ac:dyDescent="0.25">
      <c r="A29" s="22">
        <f t="shared" si="4"/>
        <v>24</v>
      </c>
      <c r="B29" s="23" t="s">
        <v>49</v>
      </c>
      <c r="C29" s="24" t="s">
        <v>44</v>
      </c>
      <c r="D29" s="25">
        <v>1000</v>
      </c>
      <c r="E29" s="26" t="s">
        <v>15</v>
      </c>
      <c r="F29" s="27">
        <v>60</v>
      </c>
      <c r="G29" s="27">
        <v>0</v>
      </c>
      <c r="H29" s="28" t="str">
        <f t="shared" si="3"/>
        <v>--</v>
      </c>
      <c r="I29" s="25"/>
      <c r="K29" s="21">
        <v>1817</v>
      </c>
      <c r="L29" s="9"/>
      <c r="W29">
        <v>60</v>
      </c>
      <c r="X29">
        <v>1.06</v>
      </c>
      <c r="Y29">
        <f t="shared" si="2"/>
        <v>63.6</v>
      </c>
    </row>
    <row r="30" spans="1:25" ht="48" customHeight="1" thickBot="1" x14ac:dyDescent="0.25">
      <c r="A30" s="22">
        <f t="shared" si="4"/>
        <v>25</v>
      </c>
      <c r="B30" s="23" t="s">
        <v>50</v>
      </c>
      <c r="C30" s="24" t="s">
        <v>44</v>
      </c>
      <c r="D30" s="25">
        <v>100</v>
      </c>
      <c r="E30" s="26" t="s">
        <v>15</v>
      </c>
      <c r="F30" s="27">
        <v>10</v>
      </c>
      <c r="G30" s="27">
        <v>0</v>
      </c>
      <c r="H30" s="28" t="str">
        <f t="shared" si="3"/>
        <v>--</v>
      </c>
      <c r="I30" s="25"/>
      <c r="K30" s="21">
        <v>1817</v>
      </c>
      <c r="L30" s="9"/>
      <c r="W30">
        <v>5</v>
      </c>
      <c r="X30">
        <v>1.06</v>
      </c>
      <c r="Y30">
        <f t="shared" si="2"/>
        <v>5.3000000000000007</v>
      </c>
    </row>
    <row r="31" spans="1:25" ht="48" customHeight="1" thickBot="1" x14ac:dyDescent="0.25">
      <c r="A31" s="22">
        <f t="shared" si="4"/>
        <v>26</v>
      </c>
      <c r="B31" s="23" t="s">
        <v>51</v>
      </c>
      <c r="C31" s="24" t="s">
        <v>44</v>
      </c>
      <c r="D31" s="25">
        <v>200</v>
      </c>
      <c r="E31" s="26" t="s">
        <v>15</v>
      </c>
      <c r="F31" s="27">
        <v>14</v>
      </c>
      <c r="G31" s="27">
        <v>0</v>
      </c>
      <c r="H31" s="28" t="str">
        <f t="shared" si="3"/>
        <v>--</v>
      </c>
      <c r="I31" s="25"/>
      <c r="K31" s="21">
        <v>1817</v>
      </c>
      <c r="L31" s="9"/>
      <c r="W31">
        <v>8</v>
      </c>
      <c r="X31">
        <v>1.06</v>
      </c>
      <c r="Y31">
        <f t="shared" si="2"/>
        <v>8.48</v>
      </c>
    </row>
    <row r="32" spans="1:25" ht="48" customHeight="1" thickBot="1" x14ac:dyDescent="0.25">
      <c r="A32" s="22">
        <f t="shared" si="4"/>
        <v>27</v>
      </c>
      <c r="B32" s="23" t="s">
        <v>52</v>
      </c>
      <c r="C32" s="24" t="s">
        <v>44</v>
      </c>
      <c r="D32" s="25">
        <v>1000</v>
      </c>
      <c r="E32" s="26" t="s">
        <v>15</v>
      </c>
      <c r="F32" s="27">
        <v>60</v>
      </c>
      <c r="G32" s="27">
        <v>0</v>
      </c>
      <c r="H32" s="28" t="str">
        <f t="shared" si="3"/>
        <v>--</v>
      </c>
      <c r="I32" s="25"/>
      <c r="K32" s="21">
        <v>1817</v>
      </c>
      <c r="L32" s="9"/>
      <c r="W32">
        <v>60</v>
      </c>
      <c r="X32">
        <v>1.06</v>
      </c>
      <c r="Y32">
        <f t="shared" si="2"/>
        <v>63.6</v>
      </c>
    </row>
    <row r="33" spans="1:26" ht="19.5" customHeight="1" thickBot="1" x14ac:dyDescent="0.25">
      <c r="A33" s="10" t="s">
        <v>53</v>
      </c>
      <c r="B33" s="163" t="s">
        <v>54</v>
      </c>
      <c r="C33" s="164"/>
      <c r="D33" s="164"/>
      <c r="E33" s="164"/>
      <c r="F33" s="164"/>
      <c r="G33" s="164"/>
      <c r="H33" s="165"/>
      <c r="I33" s="25"/>
      <c r="K33" s="8"/>
      <c r="L33" s="9"/>
      <c r="Y33">
        <f t="shared" si="2"/>
        <v>0</v>
      </c>
    </row>
    <row r="34" spans="1:26" ht="70.5" customHeight="1" thickBot="1" x14ac:dyDescent="0.25">
      <c r="A34" s="14">
        <f>+A32+1</f>
        <v>28</v>
      </c>
      <c r="B34" s="15" t="s">
        <v>55</v>
      </c>
      <c r="C34" s="16" t="s">
        <v>36</v>
      </c>
      <c r="D34" s="32" t="s">
        <v>23</v>
      </c>
      <c r="E34" s="18" t="s">
        <v>15</v>
      </c>
      <c r="F34" s="33">
        <v>3.82</v>
      </c>
      <c r="G34" s="33">
        <v>3.5</v>
      </c>
      <c r="H34" s="34">
        <f t="shared" ref="H34:H36" si="5">IFERROR(+(F34/G34)-1,"--")</f>
        <v>9.1428571428571415E-2</v>
      </c>
      <c r="I34" s="25"/>
      <c r="K34" s="21">
        <v>2340</v>
      </c>
      <c r="L34" s="9"/>
      <c r="W34">
        <v>3.82</v>
      </c>
      <c r="X34">
        <v>1.06</v>
      </c>
      <c r="Y34">
        <f t="shared" si="2"/>
        <v>4.0491999999999999</v>
      </c>
    </row>
    <row r="35" spans="1:26" ht="48" customHeight="1" thickBot="1" x14ac:dyDescent="0.25">
      <c r="A35" s="22">
        <f t="shared" ref="A35:A36" si="6">+A34+1</f>
        <v>29</v>
      </c>
      <c r="B35" s="23" t="s">
        <v>56</v>
      </c>
      <c r="C35" s="24" t="s">
        <v>36</v>
      </c>
      <c r="D35" s="25" t="s">
        <v>23</v>
      </c>
      <c r="E35" s="26" t="s">
        <v>26</v>
      </c>
      <c r="F35" s="27">
        <v>4</v>
      </c>
      <c r="G35" s="27">
        <v>3.5</v>
      </c>
      <c r="H35" s="28">
        <f t="shared" si="5"/>
        <v>0.14285714285714279</v>
      </c>
      <c r="I35" s="25"/>
      <c r="K35" s="21">
        <v>2340</v>
      </c>
      <c r="L35" s="9"/>
      <c r="W35">
        <v>4</v>
      </c>
      <c r="X35">
        <v>1.06</v>
      </c>
      <c r="Y35">
        <f t="shared" si="2"/>
        <v>4.24</v>
      </c>
    </row>
    <row r="36" spans="1:26" ht="48" customHeight="1" thickBot="1" x14ac:dyDescent="0.25">
      <c r="A36" s="22">
        <f t="shared" si="6"/>
        <v>30</v>
      </c>
      <c r="B36" s="23" t="s">
        <v>57</v>
      </c>
      <c r="C36" s="24" t="s">
        <v>36</v>
      </c>
      <c r="D36" s="25" t="s">
        <v>23</v>
      </c>
      <c r="E36" s="26" t="s">
        <v>58</v>
      </c>
      <c r="F36" s="27">
        <v>4</v>
      </c>
      <c r="G36" s="27">
        <v>3.5</v>
      </c>
      <c r="H36" s="28">
        <f t="shared" si="5"/>
        <v>0.14285714285714279</v>
      </c>
      <c r="I36" s="25"/>
      <c r="K36" s="21">
        <v>2340</v>
      </c>
      <c r="L36" s="9"/>
      <c r="W36">
        <v>4</v>
      </c>
      <c r="X36">
        <v>1.06</v>
      </c>
      <c r="Y36">
        <f t="shared" si="2"/>
        <v>4.24</v>
      </c>
    </row>
    <row r="37" spans="1:26" ht="22.5" customHeight="1" thickBot="1" x14ac:dyDescent="0.25">
      <c r="A37" s="10" t="s">
        <v>59</v>
      </c>
      <c r="B37" s="163" t="s">
        <v>60</v>
      </c>
      <c r="C37" s="164"/>
      <c r="D37" s="164"/>
      <c r="E37" s="164"/>
      <c r="F37" s="164"/>
      <c r="G37" s="164"/>
      <c r="H37" s="165"/>
      <c r="I37" s="25"/>
      <c r="K37" s="8"/>
      <c r="L37" s="9"/>
      <c r="Y37">
        <f t="shared" si="2"/>
        <v>0</v>
      </c>
    </row>
    <row r="38" spans="1:26" ht="135" customHeight="1" thickBot="1" x14ac:dyDescent="0.25">
      <c r="A38" s="35">
        <f>+A36+1</f>
        <v>31</v>
      </c>
      <c r="B38" s="36" t="s">
        <v>612</v>
      </c>
      <c r="C38" s="37" t="s">
        <v>23</v>
      </c>
      <c r="D38" s="38">
        <v>20</v>
      </c>
      <c r="E38" s="39" t="s">
        <v>26</v>
      </c>
      <c r="F38" s="40">
        <v>3.1228500000000006</v>
      </c>
      <c r="G38" s="40">
        <v>2.8650000000000002</v>
      </c>
      <c r="H38" s="41">
        <f>IFERROR(+(F38/G38)-1,"--")</f>
        <v>9.000000000000008E-2</v>
      </c>
      <c r="I38" s="42"/>
      <c r="J38" s="43"/>
      <c r="K38" s="21">
        <v>2340</v>
      </c>
      <c r="L38" s="44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>
        <v>3.1228500000000006</v>
      </c>
      <c r="X38" s="43">
        <v>1.06</v>
      </c>
      <c r="Y38">
        <f t="shared" si="2"/>
        <v>3.3102210000000007</v>
      </c>
      <c r="Z38" s="43"/>
    </row>
    <row r="39" spans="1:26" ht="19.5" customHeight="1" thickBot="1" x14ac:dyDescent="0.25">
      <c r="A39" s="10" t="s">
        <v>61</v>
      </c>
      <c r="B39" s="167" t="s">
        <v>62</v>
      </c>
      <c r="C39" s="168"/>
      <c r="D39" s="168"/>
      <c r="E39" s="168"/>
      <c r="F39" s="168"/>
      <c r="G39" s="168"/>
      <c r="H39" s="168"/>
      <c r="I39" s="168"/>
      <c r="J39" s="169"/>
      <c r="K39" s="8"/>
      <c r="L39" s="9"/>
      <c r="Y39">
        <f t="shared" si="2"/>
        <v>0</v>
      </c>
    </row>
    <row r="40" spans="1:26" ht="19.5" customHeight="1" thickBot="1" x14ac:dyDescent="0.25">
      <c r="A40" s="45" t="s">
        <v>63</v>
      </c>
      <c r="B40" s="163" t="s">
        <v>64</v>
      </c>
      <c r="C40" s="164"/>
      <c r="D40" s="164"/>
      <c r="E40" s="164"/>
      <c r="F40" s="164"/>
      <c r="G40" s="164"/>
      <c r="H40" s="165"/>
      <c r="I40" s="25"/>
      <c r="J40" s="46"/>
      <c r="K40" s="8"/>
      <c r="L40" s="9"/>
      <c r="Y40">
        <f t="shared" si="2"/>
        <v>0</v>
      </c>
    </row>
    <row r="41" spans="1:26" ht="19.5" customHeight="1" thickBot="1" x14ac:dyDescent="0.25">
      <c r="A41" s="47" t="s">
        <v>65</v>
      </c>
      <c r="B41" s="163" t="s">
        <v>66</v>
      </c>
      <c r="C41" s="164"/>
      <c r="D41" s="164"/>
      <c r="E41" s="164"/>
      <c r="F41" s="164"/>
      <c r="G41" s="164"/>
      <c r="H41" s="165"/>
      <c r="I41" s="25"/>
      <c r="K41" s="8"/>
      <c r="L41" s="9"/>
      <c r="Y41">
        <f t="shared" si="2"/>
        <v>0</v>
      </c>
    </row>
    <row r="42" spans="1:26" ht="34.5" customHeight="1" thickBot="1" x14ac:dyDescent="0.25">
      <c r="A42" s="48">
        <f>A38+1</f>
        <v>32</v>
      </c>
      <c r="B42" s="49" t="s">
        <v>67</v>
      </c>
      <c r="C42" s="50" t="s">
        <v>503</v>
      </c>
      <c r="D42" s="51">
        <v>10</v>
      </c>
      <c r="E42" s="52" t="s">
        <v>26</v>
      </c>
      <c r="F42" s="53">
        <v>5.9187000000000003</v>
      </c>
      <c r="G42" s="53">
        <v>5.43</v>
      </c>
      <c r="H42" s="54">
        <f t="shared" ref="H42:H51" si="7">IFERROR(+(F42/G42)-1,"--")</f>
        <v>9.000000000000008E-2</v>
      </c>
      <c r="I42" s="25"/>
      <c r="K42" s="21">
        <v>2340</v>
      </c>
      <c r="L42" s="55"/>
      <c r="W42">
        <v>5.9187000000000003</v>
      </c>
      <c r="X42">
        <v>1.06</v>
      </c>
      <c r="Y42">
        <f t="shared" si="2"/>
        <v>6.2738220000000009</v>
      </c>
    </row>
    <row r="43" spans="1:26" ht="24" customHeight="1" thickBot="1" x14ac:dyDescent="0.25">
      <c r="A43" s="22">
        <f t="shared" ref="A43:A51" si="8">+A42+1</f>
        <v>33</v>
      </c>
      <c r="B43" s="23" t="s">
        <v>68</v>
      </c>
      <c r="C43" s="24" t="s">
        <v>503</v>
      </c>
      <c r="D43" s="25" t="s">
        <v>23</v>
      </c>
      <c r="E43" s="31" t="s">
        <v>69</v>
      </c>
      <c r="F43" s="27">
        <v>0.88290000000000013</v>
      </c>
      <c r="G43" s="27">
        <v>0.81</v>
      </c>
      <c r="H43" s="28">
        <f t="shared" si="7"/>
        <v>9.000000000000008E-2</v>
      </c>
      <c r="I43" s="25"/>
      <c r="K43" s="21">
        <v>2340</v>
      </c>
      <c r="L43" s="55"/>
      <c r="W43">
        <v>0.88290000000000013</v>
      </c>
      <c r="X43">
        <v>1.06</v>
      </c>
      <c r="Y43">
        <f t="shared" si="2"/>
        <v>0.93587400000000021</v>
      </c>
    </row>
    <row r="44" spans="1:26" ht="34.5" customHeight="1" thickBot="1" x14ac:dyDescent="0.25">
      <c r="A44" s="22">
        <f t="shared" si="8"/>
        <v>34</v>
      </c>
      <c r="B44" s="23" t="s">
        <v>70</v>
      </c>
      <c r="C44" s="24" t="s">
        <v>503</v>
      </c>
      <c r="D44" s="25">
        <v>10</v>
      </c>
      <c r="E44" s="31" t="s">
        <v>26</v>
      </c>
      <c r="F44" s="27">
        <v>7.1504000000000003</v>
      </c>
      <c r="G44" s="27">
        <v>6.56</v>
      </c>
      <c r="H44" s="28">
        <f t="shared" si="7"/>
        <v>9.000000000000008E-2</v>
      </c>
      <c r="I44" s="25"/>
      <c r="K44" s="21">
        <v>2340</v>
      </c>
      <c r="L44" s="55"/>
      <c r="W44">
        <v>7.1504000000000003</v>
      </c>
      <c r="X44">
        <v>1.06</v>
      </c>
      <c r="Y44">
        <f t="shared" si="2"/>
        <v>7.5794240000000004</v>
      </c>
    </row>
    <row r="45" spans="1:26" ht="33" customHeight="1" thickBot="1" x14ac:dyDescent="0.25">
      <c r="A45" s="22">
        <f t="shared" si="8"/>
        <v>35</v>
      </c>
      <c r="B45" s="23" t="s">
        <v>71</v>
      </c>
      <c r="C45" s="24" t="s">
        <v>503</v>
      </c>
      <c r="D45" s="25" t="s">
        <v>23</v>
      </c>
      <c r="E45" s="31" t="s">
        <v>69</v>
      </c>
      <c r="F45" s="27">
        <v>1.1009</v>
      </c>
      <c r="G45" s="27">
        <v>1.01</v>
      </c>
      <c r="H45" s="28">
        <f t="shared" si="7"/>
        <v>9.000000000000008E-2</v>
      </c>
      <c r="I45" s="25"/>
      <c r="K45" s="21">
        <v>2340</v>
      </c>
      <c r="L45" s="55"/>
      <c r="W45">
        <v>1.1009</v>
      </c>
      <c r="X45">
        <v>1.06</v>
      </c>
      <c r="Y45">
        <f t="shared" si="2"/>
        <v>1.166954</v>
      </c>
    </row>
    <row r="46" spans="1:26" ht="33" customHeight="1" thickBot="1" x14ac:dyDescent="0.25">
      <c r="A46" s="22">
        <f t="shared" si="8"/>
        <v>36</v>
      </c>
      <c r="B46" s="23" t="s">
        <v>72</v>
      </c>
      <c r="C46" s="24" t="s">
        <v>503</v>
      </c>
      <c r="D46" s="25">
        <v>30</v>
      </c>
      <c r="E46" s="31" t="s">
        <v>26</v>
      </c>
      <c r="F46" s="27">
        <v>11.052600000000002</v>
      </c>
      <c r="G46" s="27">
        <v>10.14</v>
      </c>
      <c r="H46" s="28">
        <f t="shared" si="7"/>
        <v>9.000000000000008E-2</v>
      </c>
      <c r="I46" s="25"/>
      <c r="K46" s="21">
        <v>2340</v>
      </c>
      <c r="L46" s="55"/>
      <c r="W46">
        <v>11.052600000000002</v>
      </c>
      <c r="X46">
        <v>1.06</v>
      </c>
      <c r="Y46">
        <f t="shared" si="2"/>
        <v>11.715756000000003</v>
      </c>
    </row>
    <row r="47" spans="1:26" ht="33" customHeight="1" thickBot="1" x14ac:dyDescent="0.25">
      <c r="A47" s="22">
        <f t="shared" si="8"/>
        <v>37</v>
      </c>
      <c r="B47" s="23" t="s">
        <v>73</v>
      </c>
      <c r="C47" s="24" t="s">
        <v>503</v>
      </c>
      <c r="D47" s="25" t="s">
        <v>23</v>
      </c>
      <c r="E47" s="31" t="s">
        <v>69</v>
      </c>
      <c r="F47" s="27">
        <v>1.6350000000000002</v>
      </c>
      <c r="G47" s="27">
        <v>1.5</v>
      </c>
      <c r="H47" s="28">
        <f t="shared" si="7"/>
        <v>9.000000000000008E-2</v>
      </c>
      <c r="I47" s="25"/>
      <c r="K47" s="21">
        <v>2340</v>
      </c>
      <c r="L47" s="55"/>
      <c r="W47">
        <v>1.6350000000000002</v>
      </c>
      <c r="X47">
        <v>1.06</v>
      </c>
      <c r="Y47">
        <f t="shared" si="2"/>
        <v>1.7331000000000003</v>
      </c>
    </row>
    <row r="48" spans="1:26" ht="46.5" customHeight="1" thickBot="1" x14ac:dyDescent="0.25">
      <c r="A48" s="22">
        <f t="shared" si="8"/>
        <v>38</v>
      </c>
      <c r="B48" s="23" t="s">
        <v>74</v>
      </c>
      <c r="C48" s="24" t="s">
        <v>503</v>
      </c>
      <c r="D48" s="25">
        <v>30</v>
      </c>
      <c r="E48" s="31" t="s">
        <v>26</v>
      </c>
      <c r="F48" s="27">
        <v>13.396100000000001</v>
      </c>
      <c r="G48" s="27">
        <v>12.29</v>
      </c>
      <c r="H48" s="28">
        <f t="shared" si="7"/>
        <v>9.000000000000008E-2</v>
      </c>
      <c r="I48" s="25"/>
      <c r="K48" s="21">
        <v>2340</v>
      </c>
      <c r="L48" s="55"/>
      <c r="W48">
        <v>13.396100000000001</v>
      </c>
      <c r="X48">
        <v>1.06</v>
      </c>
      <c r="Y48">
        <f t="shared" si="2"/>
        <v>14.199866000000002</v>
      </c>
    </row>
    <row r="49" spans="1:25" ht="31.5" customHeight="1" thickBot="1" x14ac:dyDescent="0.25">
      <c r="A49" s="22">
        <f t="shared" si="8"/>
        <v>39</v>
      </c>
      <c r="B49" s="56" t="s">
        <v>75</v>
      </c>
      <c r="C49" s="57" t="s">
        <v>503</v>
      </c>
      <c r="D49" s="58" t="s">
        <v>23</v>
      </c>
      <c r="E49" s="59" t="s">
        <v>69</v>
      </c>
      <c r="F49" s="60">
        <v>2.0165000000000002</v>
      </c>
      <c r="G49" s="60">
        <v>1.85</v>
      </c>
      <c r="H49" s="61">
        <f t="shared" si="7"/>
        <v>9.000000000000008E-2</v>
      </c>
      <c r="I49" s="25"/>
      <c r="K49" s="21">
        <v>2340</v>
      </c>
      <c r="L49" s="55"/>
      <c r="W49">
        <v>2.0165000000000002</v>
      </c>
      <c r="X49">
        <v>1.06</v>
      </c>
      <c r="Y49">
        <f t="shared" si="2"/>
        <v>2.1374900000000001</v>
      </c>
    </row>
    <row r="50" spans="1:25" ht="46.5" customHeight="1" thickBot="1" x14ac:dyDescent="0.25">
      <c r="A50" s="22">
        <f t="shared" si="8"/>
        <v>40</v>
      </c>
      <c r="B50" s="23" t="s">
        <v>76</v>
      </c>
      <c r="C50" s="24" t="s">
        <v>503</v>
      </c>
      <c r="D50" s="25">
        <v>30</v>
      </c>
      <c r="E50" s="31" t="s">
        <v>26</v>
      </c>
      <c r="F50" s="27">
        <v>17.821500000000004</v>
      </c>
      <c r="G50" s="27">
        <v>16.350000000000001</v>
      </c>
      <c r="H50" s="28">
        <f t="shared" si="7"/>
        <v>9.000000000000008E-2</v>
      </c>
      <c r="I50" s="25"/>
      <c r="K50" s="21">
        <v>2340</v>
      </c>
      <c r="L50" s="55"/>
      <c r="W50">
        <v>17.821500000000004</v>
      </c>
      <c r="X50">
        <v>1.06</v>
      </c>
      <c r="Y50">
        <f t="shared" si="2"/>
        <v>18.890790000000006</v>
      </c>
    </row>
    <row r="51" spans="1:25" ht="31.5" customHeight="1" thickBot="1" x14ac:dyDescent="0.25">
      <c r="A51" s="22">
        <f t="shared" si="8"/>
        <v>41</v>
      </c>
      <c r="B51" s="56" t="s">
        <v>77</v>
      </c>
      <c r="C51" s="57" t="s">
        <v>503</v>
      </c>
      <c r="D51" s="58" t="s">
        <v>23</v>
      </c>
      <c r="E51" s="59" t="s">
        <v>69</v>
      </c>
      <c r="F51" s="60">
        <v>2.6814</v>
      </c>
      <c r="G51" s="60">
        <v>2.46</v>
      </c>
      <c r="H51" s="61">
        <f t="shared" si="7"/>
        <v>9.000000000000008E-2</v>
      </c>
      <c r="I51" s="25"/>
      <c r="K51" s="21">
        <v>2340</v>
      </c>
      <c r="L51" s="55"/>
      <c r="W51">
        <v>2.6814</v>
      </c>
      <c r="X51">
        <v>1.06</v>
      </c>
      <c r="Y51">
        <f t="shared" si="2"/>
        <v>2.8422840000000003</v>
      </c>
    </row>
    <row r="52" spans="1:25" ht="23.25" customHeight="1" thickBot="1" x14ac:dyDescent="0.25">
      <c r="A52" s="10" t="s">
        <v>78</v>
      </c>
      <c r="B52" s="163" t="s">
        <v>79</v>
      </c>
      <c r="C52" s="164"/>
      <c r="D52" s="164"/>
      <c r="E52" s="164"/>
      <c r="F52" s="164"/>
      <c r="G52" s="164"/>
      <c r="H52" s="165"/>
      <c r="I52" s="25"/>
      <c r="K52" s="62"/>
      <c r="L52" s="9"/>
      <c r="Y52">
        <f t="shared" si="2"/>
        <v>0</v>
      </c>
    </row>
    <row r="53" spans="1:25" ht="66.75" customHeight="1" thickBot="1" x14ac:dyDescent="0.25">
      <c r="A53" s="48">
        <f>A51+1</f>
        <v>42</v>
      </c>
      <c r="B53" s="156" t="s">
        <v>571</v>
      </c>
      <c r="C53" s="50" t="s">
        <v>504</v>
      </c>
      <c r="D53" s="51">
        <v>2</v>
      </c>
      <c r="E53" s="52" t="s">
        <v>26</v>
      </c>
      <c r="F53" s="53">
        <v>9.2323000000000004</v>
      </c>
      <c r="G53" s="53">
        <v>8.4700000000000006</v>
      </c>
      <c r="H53" s="54">
        <f t="shared" ref="H53:H64" si="9">IFERROR(+(F53/G53)-1,"--")</f>
        <v>8.9999999999999858E-2</v>
      </c>
      <c r="I53" s="25"/>
      <c r="K53" s="21">
        <v>2340</v>
      </c>
      <c r="L53" s="9"/>
      <c r="W53">
        <v>9.2323000000000004</v>
      </c>
      <c r="X53">
        <v>1.06</v>
      </c>
      <c r="Y53">
        <f t="shared" si="2"/>
        <v>9.7862380000000009</v>
      </c>
    </row>
    <row r="54" spans="1:25" ht="27.75" customHeight="1" thickBot="1" x14ac:dyDescent="0.25">
      <c r="A54" s="22">
        <f t="shared" ref="A54:A64" si="10">+A53+1</f>
        <v>43</v>
      </c>
      <c r="B54" s="23" t="s">
        <v>80</v>
      </c>
      <c r="C54" s="24" t="s">
        <v>504</v>
      </c>
      <c r="D54" s="25" t="s">
        <v>23</v>
      </c>
      <c r="E54" s="31" t="s">
        <v>69</v>
      </c>
      <c r="F54" s="27">
        <v>1.3625</v>
      </c>
      <c r="G54" s="27">
        <v>1.25</v>
      </c>
      <c r="H54" s="28">
        <f t="shared" si="9"/>
        <v>9.000000000000008E-2</v>
      </c>
      <c r="I54" s="25"/>
      <c r="K54" s="21">
        <v>2340</v>
      </c>
      <c r="L54" s="9"/>
      <c r="W54">
        <v>1.3625</v>
      </c>
      <c r="X54">
        <v>1.06</v>
      </c>
      <c r="Y54">
        <f t="shared" si="2"/>
        <v>1.44425</v>
      </c>
    </row>
    <row r="55" spans="1:25" ht="69" customHeight="1" thickBot="1" x14ac:dyDescent="0.25">
      <c r="A55" s="22">
        <f t="shared" si="10"/>
        <v>44</v>
      </c>
      <c r="B55" s="23" t="s">
        <v>81</v>
      </c>
      <c r="C55" s="24" t="s">
        <v>504</v>
      </c>
      <c r="D55" s="25">
        <v>2</v>
      </c>
      <c r="E55" s="31" t="s">
        <v>26</v>
      </c>
      <c r="F55" s="27">
        <v>10.093400000000001</v>
      </c>
      <c r="G55" s="27">
        <v>9.26</v>
      </c>
      <c r="H55" s="28">
        <f t="shared" si="9"/>
        <v>9.000000000000008E-2</v>
      </c>
      <c r="I55" s="25"/>
      <c r="K55" s="21">
        <v>2340</v>
      </c>
      <c r="L55" s="9"/>
      <c r="W55">
        <v>10.093400000000001</v>
      </c>
      <c r="X55">
        <v>1.06</v>
      </c>
      <c r="Y55">
        <f t="shared" si="2"/>
        <v>10.699004000000002</v>
      </c>
    </row>
    <row r="56" spans="1:25" ht="31.5" customHeight="1" thickBot="1" x14ac:dyDescent="0.25">
      <c r="A56" s="22">
        <f t="shared" si="10"/>
        <v>45</v>
      </c>
      <c r="B56" s="23" t="s">
        <v>82</v>
      </c>
      <c r="C56" s="24" t="s">
        <v>504</v>
      </c>
      <c r="D56" s="25" t="s">
        <v>23</v>
      </c>
      <c r="E56" s="31" t="s">
        <v>69</v>
      </c>
      <c r="F56" s="27">
        <v>1.526</v>
      </c>
      <c r="G56" s="27">
        <v>1.4</v>
      </c>
      <c r="H56" s="28">
        <f t="shared" si="9"/>
        <v>9.000000000000008E-2</v>
      </c>
      <c r="I56" s="25"/>
      <c r="K56" s="21">
        <v>2340</v>
      </c>
      <c r="L56" s="9"/>
      <c r="W56">
        <v>1.526</v>
      </c>
      <c r="X56">
        <v>1.06</v>
      </c>
      <c r="Y56">
        <f t="shared" si="2"/>
        <v>1.6175600000000001</v>
      </c>
    </row>
    <row r="57" spans="1:25" ht="67.5" customHeight="1" thickBot="1" x14ac:dyDescent="0.25">
      <c r="A57" s="22">
        <f t="shared" si="10"/>
        <v>46</v>
      </c>
      <c r="B57" s="23" t="s">
        <v>456</v>
      </c>
      <c r="C57" s="24" t="s">
        <v>504</v>
      </c>
      <c r="D57" s="25">
        <v>8</v>
      </c>
      <c r="E57" s="31" t="s">
        <v>26</v>
      </c>
      <c r="F57" s="27">
        <v>9.8317999999999994</v>
      </c>
      <c r="G57" s="27">
        <v>9.02</v>
      </c>
      <c r="H57" s="28">
        <f t="shared" si="9"/>
        <v>9.000000000000008E-2</v>
      </c>
      <c r="I57" s="25"/>
      <c r="K57" s="21">
        <v>2340</v>
      </c>
      <c r="L57" s="9"/>
      <c r="W57">
        <v>9.8317999999999994</v>
      </c>
      <c r="X57">
        <v>1.06</v>
      </c>
      <c r="Y57">
        <f t="shared" si="2"/>
        <v>10.421708000000001</v>
      </c>
    </row>
    <row r="58" spans="1:25" ht="28.5" customHeight="1" thickBot="1" x14ac:dyDescent="0.25">
      <c r="A58" s="22">
        <f t="shared" si="10"/>
        <v>47</v>
      </c>
      <c r="B58" s="23" t="s">
        <v>83</v>
      </c>
      <c r="C58" s="24" t="s">
        <v>504</v>
      </c>
      <c r="D58" s="25" t="s">
        <v>23</v>
      </c>
      <c r="E58" s="31" t="s">
        <v>69</v>
      </c>
      <c r="F58" s="27">
        <v>1.4824000000000002</v>
      </c>
      <c r="G58" s="27">
        <v>1.36</v>
      </c>
      <c r="H58" s="28">
        <f t="shared" si="9"/>
        <v>9.000000000000008E-2</v>
      </c>
      <c r="I58" s="25"/>
      <c r="K58" s="21">
        <v>2340</v>
      </c>
      <c r="L58" s="9"/>
      <c r="W58">
        <v>1.4824000000000002</v>
      </c>
      <c r="X58">
        <v>1.06</v>
      </c>
      <c r="Y58">
        <f t="shared" si="2"/>
        <v>1.5713440000000003</v>
      </c>
    </row>
    <row r="59" spans="1:25" ht="71.25" customHeight="1" thickBot="1" x14ac:dyDescent="0.25">
      <c r="A59" s="22">
        <f t="shared" si="10"/>
        <v>48</v>
      </c>
      <c r="B59" s="23" t="s">
        <v>457</v>
      </c>
      <c r="C59" s="24" t="s">
        <v>504</v>
      </c>
      <c r="D59" s="25">
        <v>8</v>
      </c>
      <c r="E59" s="31" t="s">
        <v>26</v>
      </c>
      <c r="F59" s="27">
        <v>10.573</v>
      </c>
      <c r="G59" s="27">
        <v>9.6999999999999993</v>
      </c>
      <c r="H59" s="28">
        <f t="shared" si="9"/>
        <v>9.000000000000008E-2</v>
      </c>
      <c r="I59" s="25"/>
      <c r="K59" s="21">
        <v>2340</v>
      </c>
      <c r="L59" s="9">
        <v>23400153</v>
      </c>
      <c r="W59">
        <v>10.573</v>
      </c>
      <c r="X59">
        <v>1.06</v>
      </c>
      <c r="Y59">
        <f t="shared" si="2"/>
        <v>11.207380000000001</v>
      </c>
    </row>
    <row r="60" spans="1:25" ht="29.25" customHeight="1" thickBot="1" x14ac:dyDescent="0.25">
      <c r="A60" s="22">
        <f t="shared" si="10"/>
        <v>49</v>
      </c>
      <c r="B60" s="23" t="s">
        <v>84</v>
      </c>
      <c r="C60" s="24" t="s">
        <v>504</v>
      </c>
      <c r="D60" s="25" t="s">
        <v>23</v>
      </c>
      <c r="E60" s="31" t="s">
        <v>69</v>
      </c>
      <c r="F60" s="27">
        <v>1.6241000000000001</v>
      </c>
      <c r="G60" s="27">
        <v>1.49</v>
      </c>
      <c r="H60" s="28">
        <f t="shared" si="9"/>
        <v>9.000000000000008E-2</v>
      </c>
      <c r="I60" s="25"/>
      <c r="K60" s="21">
        <v>2340</v>
      </c>
      <c r="L60" s="9">
        <v>23400155</v>
      </c>
      <c r="W60">
        <v>1.6241000000000001</v>
      </c>
      <c r="X60">
        <v>1.06</v>
      </c>
      <c r="Y60">
        <f t="shared" si="2"/>
        <v>1.7215460000000002</v>
      </c>
    </row>
    <row r="61" spans="1:25" ht="72.75" customHeight="1" thickBot="1" x14ac:dyDescent="0.25">
      <c r="A61" s="22">
        <f t="shared" si="10"/>
        <v>50</v>
      </c>
      <c r="B61" s="23" t="s">
        <v>458</v>
      </c>
      <c r="C61" s="24" t="s">
        <v>504</v>
      </c>
      <c r="D61" s="25">
        <v>20</v>
      </c>
      <c r="E61" s="31" t="s">
        <v>26</v>
      </c>
      <c r="F61" s="27">
        <v>14.518800000000001</v>
      </c>
      <c r="G61" s="27">
        <v>13.32</v>
      </c>
      <c r="H61" s="28">
        <f t="shared" si="9"/>
        <v>9.000000000000008E-2</v>
      </c>
      <c r="I61" s="25"/>
      <c r="K61" s="21">
        <v>2340</v>
      </c>
      <c r="L61" s="9"/>
      <c r="W61">
        <v>14.518800000000001</v>
      </c>
      <c r="X61">
        <v>1.06</v>
      </c>
      <c r="Y61">
        <f t="shared" si="2"/>
        <v>15.389928000000001</v>
      </c>
    </row>
    <row r="62" spans="1:25" ht="28.5" customHeight="1" thickBot="1" x14ac:dyDescent="0.25">
      <c r="A62" s="22">
        <f t="shared" si="10"/>
        <v>51</v>
      </c>
      <c r="B62" s="23" t="s">
        <v>85</v>
      </c>
      <c r="C62" s="24" t="s">
        <v>504</v>
      </c>
      <c r="D62" s="25" t="s">
        <v>23</v>
      </c>
      <c r="E62" s="31" t="s">
        <v>69</v>
      </c>
      <c r="F62" s="27">
        <v>2.1582000000000003</v>
      </c>
      <c r="G62" s="27">
        <v>1.98</v>
      </c>
      <c r="H62" s="28">
        <f t="shared" si="9"/>
        <v>9.000000000000008E-2</v>
      </c>
      <c r="I62" s="25"/>
      <c r="K62" s="21">
        <v>2340</v>
      </c>
      <c r="L62" s="9"/>
      <c r="W62">
        <v>2.1582000000000003</v>
      </c>
      <c r="X62">
        <v>1.06</v>
      </c>
      <c r="Y62">
        <f t="shared" si="2"/>
        <v>2.2876920000000003</v>
      </c>
    </row>
    <row r="63" spans="1:25" ht="77.25" customHeight="1" thickBot="1" x14ac:dyDescent="0.25">
      <c r="A63" s="22">
        <f t="shared" si="10"/>
        <v>52</v>
      </c>
      <c r="B63" s="23" t="s">
        <v>459</v>
      </c>
      <c r="C63" s="24" t="s">
        <v>504</v>
      </c>
      <c r="D63" s="25">
        <v>20</v>
      </c>
      <c r="E63" s="31" t="s">
        <v>26</v>
      </c>
      <c r="F63" s="27">
        <v>15.379900000000001</v>
      </c>
      <c r="G63" s="27">
        <v>14.11</v>
      </c>
      <c r="H63" s="28">
        <f t="shared" si="9"/>
        <v>9.000000000000008E-2</v>
      </c>
      <c r="I63" s="25"/>
      <c r="K63" s="21">
        <v>2340</v>
      </c>
      <c r="L63" s="9"/>
      <c r="W63">
        <v>15.379900000000001</v>
      </c>
      <c r="X63">
        <v>1.06</v>
      </c>
      <c r="Y63">
        <f t="shared" si="2"/>
        <v>16.302694000000002</v>
      </c>
    </row>
    <row r="64" spans="1:25" ht="28.5" customHeight="1" thickBot="1" x14ac:dyDescent="0.25">
      <c r="A64" s="22">
        <f t="shared" si="10"/>
        <v>53</v>
      </c>
      <c r="B64" s="23" t="s">
        <v>86</v>
      </c>
      <c r="C64" s="24" t="s">
        <v>504</v>
      </c>
      <c r="D64" s="25" t="s">
        <v>23</v>
      </c>
      <c r="E64" s="31" t="s">
        <v>69</v>
      </c>
      <c r="F64" s="27">
        <v>2.3108000000000004</v>
      </c>
      <c r="G64" s="27">
        <v>2.12</v>
      </c>
      <c r="H64" s="28">
        <f t="shared" si="9"/>
        <v>9.000000000000008E-2</v>
      </c>
      <c r="I64" s="25"/>
      <c r="K64" s="21">
        <v>2340</v>
      </c>
      <c r="L64" s="9"/>
      <c r="W64">
        <v>2.3108000000000004</v>
      </c>
      <c r="X64">
        <v>1.06</v>
      </c>
      <c r="Y64">
        <f t="shared" si="2"/>
        <v>2.4494480000000007</v>
      </c>
    </row>
    <row r="65" spans="1:25" ht="23.25" customHeight="1" thickBot="1" x14ac:dyDescent="0.25">
      <c r="A65" s="10" t="s">
        <v>87</v>
      </c>
      <c r="B65" s="163" t="s">
        <v>88</v>
      </c>
      <c r="C65" s="164"/>
      <c r="D65" s="164"/>
      <c r="E65" s="164"/>
      <c r="F65" s="164"/>
      <c r="G65" s="164"/>
      <c r="H65" s="165"/>
      <c r="I65" s="25"/>
      <c r="K65" s="21">
        <v>2340</v>
      </c>
      <c r="L65" s="9"/>
      <c r="X65">
        <v>1.06</v>
      </c>
      <c r="Y65">
        <f t="shared" si="2"/>
        <v>0</v>
      </c>
    </row>
    <row r="66" spans="1:25" ht="77.25" customHeight="1" thickBot="1" x14ac:dyDescent="0.25">
      <c r="A66" s="22">
        <f>+A64+1</f>
        <v>54</v>
      </c>
      <c r="B66" s="23" t="s">
        <v>89</v>
      </c>
      <c r="C66" s="24" t="s">
        <v>504</v>
      </c>
      <c r="D66" s="25">
        <v>2</v>
      </c>
      <c r="E66" s="31" t="s">
        <v>26</v>
      </c>
      <c r="F66" s="27">
        <v>16.41</v>
      </c>
      <c r="G66" s="27">
        <v>15.058883666274973</v>
      </c>
      <c r="H66" s="28">
        <f t="shared" ref="H66:H77" si="11">IFERROR(+(F66/G66)-1,"--")</f>
        <v>8.9722210734047403E-2</v>
      </c>
      <c r="I66" s="25"/>
      <c r="K66" s="21">
        <v>2340</v>
      </c>
      <c r="L66" s="9"/>
      <c r="W66">
        <v>16.41</v>
      </c>
      <c r="X66">
        <v>1.06</v>
      </c>
      <c r="Y66">
        <f t="shared" si="2"/>
        <v>17.394600000000001</v>
      </c>
    </row>
    <row r="67" spans="1:25" ht="28.5" customHeight="1" thickBot="1" x14ac:dyDescent="0.25">
      <c r="A67" s="22">
        <f t="shared" ref="A67:A77" si="12">+A66+1</f>
        <v>55</v>
      </c>
      <c r="B67" s="23" t="s">
        <v>80</v>
      </c>
      <c r="C67" s="24" t="s">
        <v>504</v>
      </c>
      <c r="D67" s="25" t="s">
        <v>23</v>
      </c>
      <c r="E67" s="31" t="s">
        <v>69</v>
      </c>
      <c r="F67" s="27">
        <v>2.4224001175088135</v>
      </c>
      <c r="G67" s="27">
        <v>2.2223854289071681</v>
      </c>
      <c r="H67" s="28">
        <f t="shared" si="11"/>
        <v>9.000000000000008E-2</v>
      </c>
      <c r="I67" s="25"/>
      <c r="K67" s="21">
        <v>2340</v>
      </c>
      <c r="L67" s="9"/>
      <c r="W67">
        <v>2.4224001175088135</v>
      </c>
      <c r="X67">
        <v>1.06</v>
      </c>
      <c r="Y67">
        <f t="shared" si="2"/>
        <v>2.5677441245593422</v>
      </c>
    </row>
    <row r="68" spans="1:25" ht="77.25" customHeight="1" thickBot="1" x14ac:dyDescent="0.25">
      <c r="A68" s="22">
        <f t="shared" si="12"/>
        <v>56</v>
      </c>
      <c r="B68" s="23" t="s">
        <v>90</v>
      </c>
      <c r="C68" s="24" t="s">
        <v>504</v>
      </c>
      <c r="D68" s="25">
        <v>2</v>
      </c>
      <c r="E68" s="31" t="s">
        <v>26</v>
      </c>
      <c r="F68" s="27">
        <v>17.945140070505289</v>
      </c>
      <c r="G68" s="27">
        <v>16.4634312573443</v>
      </c>
      <c r="H68" s="28">
        <f t="shared" si="11"/>
        <v>9.000000000000008E-2</v>
      </c>
      <c r="I68" s="25"/>
      <c r="K68" s="21">
        <v>2340</v>
      </c>
      <c r="L68" s="9"/>
      <c r="W68">
        <v>17.945140070505289</v>
      </c>
      <c r="X68">
        <v>1.06</v>
      </c>
      <c r="Y68">
        <f t="shared" si="2"/>
        <v>19.021848474735606</v>
      </c>
    </row>
    <row r="69" spans="1:25" ht="28.5" customHeight="1" thickBot="1" x14ac:dyDescent="0.25">
      <c r="A69" s="22">
        <f t="shared" si="12"/>
        <v>57</v>
      </c>
      <c r="B69" s="23" t="s">
        <v>82</v>
      </c>
      <c r="C69" s="24" t="s">
        <v>504</v>
      </c>
      <c r="D69" s="25" t="s">
        <v>23</v>
      </c>
      <c r="E69" s="31" t="s">
        <v>69</v>
      </c>
      <c r="F69" s="27">
        <v>2.7130881316098705</v>
      </c>
      <c r="G69" s="27">
        <v>2.489071680376028</v>
      </c>
      <c r="H69" s="28">
        <f t="shared" si="11"/>
        <v>9.000000000000008E-2</v>
      </c>
      <c r="I69" s="25"/>
      <c r="K69" s="21">
        <v>2340</v>
      </c>
      <c r="L69" s="63">
        <f>+G69*32500</f>
        <v>80894.829612220914</v>
      </c>
      <c r="W69">
        <v>2.7130881316098705</v>
      </c>
      <c r="X69">
        <v>1.06</v>
      </c>
      <c r="Y69">
        <f t="shared" si="2"/>
        <v>2.8758734195064628</v>
      </c>
    </row>
    <row r="70" spans="1:25" ht="77.25" customHeight="1" thickBot="1" x14ac:dyDescent="0.25">
      <c r="A70" s="22">
        <f t="shared" si="12"/>
        <v>58</v>
      </c>
      <c r="B70" s="23" t="s">
        <v>460</v>
      </c>
      <c r="C70" s="24" t="s">
        <v>504</v>
      </c>
      <c r="D70" s="25">
        <v>8</v>
      </c>
      <c r="E70" s="31" t="s">
        <v>26</v>
      </c>
      <c r="F70" s="27">
        <v>17.475378670788253</v>
      </c>
      <c r="G70" s="27">
        <v>16.032457496136011</v>
      </c>
      <c r="H70" s="28">
        <f t="shared" si="11"/>
        <v>9.000000000000008E-2</v>
      </c>
      <c r="I70" s="25"/>
      <c r="K70" s="21">
        <v>2340</v>
      </c>
      <c r="L70" s="9"/>
      <c r="W70">
        <v>17.475378670788253</v>
      </c>
      <c r="X70">
        <v>1.06</v>
      </c>
      <c r="Y70">
        <f t="shared" ref="Y70:Y133" si="13">W70*X70</f>
        <v>18.523901391035547</v>
      </c>
    </row>
    <row r="71" spans="1:25" ht="28.5" customHeight="1" thickBot="1" x14ac:dyDescent="0.25">
      <c r="A71" s="22">
        <f t="shared" si="12"/>
        <v>59</v>
      </c>
      <c r="B71" s="23" t="s">
        <v>83</v>
      </c>
      <c r="C71" s="24" t="s">
        <v>504</v>
      </c>
      <c r="D71" s="25" t="s">
        <v>23</v>
      </c>
      <c r="E71" s="31" t="s">
        <v>69</v>
      </c>
      <c r="F71" s="27">
        <v>2.6348686244204025</v>
      </c>
      <c r="G71" s="27">
        <v>2.4173106646058735</v>
      </c>
      <c r="H71" s="28">
        <f t="shared" si="11"/>
        <v>9.000000000000008E-2</v>
      </c>
      <c r="I71" s="25"/>
      <c r="K71" s="21">
        <v>2340</v>
      </c>
      <c r="L71" s="9"/>
      <c r="W71">
        <v>2.6348686244204025</v>
      </c>
      <c r="X71">
        <v>1.06</v>
      </c>
      <c r="Y71">
        <f t="shared" si="13"/>
        <v>2.7929607418856266</v>
      </c>
    </row>
    <row r="72" spans="1:25" ht="77.25" customHeight="1" thickBot="1" x14ac:dyDescent="0.25">
      <c r="A72" s="22">
        <f t="shared" si="12"/>
        <v>60</v>
      </c>
      <c r="B72" s="23" t="s">
        <v>91</v>
      </c>
      <c r="C72" s="24" t="s">
        <v>504</v>
      </c>
      <c r="D72" s="25">
        <v>8</v>
      </c>
      <c r="E72" s="31" t="s">
        <v>26</v>
      </c>
      <c r="F72" s="27">
        <v>18.792812982998452</v>
      </c>
      <c r="G72" s="27">
        <v>17.241112828438947</v>
      </c>
      <c r="H72" s="28">
        <f t="shared" si="11"/>
        <v>9.000000000000008E-2</v>
      </c>
      <c r="I72" s="25"/>
      <c r="K72" s="21">
        <v>2340</v>
      </c>
      <c r="L72" s="9"/>
      <c r="W72">
        <v>18.792812982998452</v>
      </c>
      <c r="X72">
        <v>1.06</v>
      </c>
      <c r="Y72">
        <f t="shared" si="13"/>
        <v>19.920381761978359</v>
      </c>
    </row>
    <row r="73" spans="1:25" ht="29.25" customHeight="1" thickBot="1" x14ac:dyDescent="0.25">
      <c r="A73" s="22">
        <f t="shared" si="12"/>
        <v>61</v>
      </c>
      <c r="B73" s="23" t="s">
        <v>84</v>
      </c>
      <c r="C73" s="24" t="s">
        <v>504</v>
      </c>
      <c r="D73" s="25" t="s">
        <v>23</v>
      </c>
      <c r="E73" s="31" t="s">
        <v>69</v>
      </c>
      <c r="F73" s="27">
        <v>2.8867310664605874</v>
      </c>
      <c r="G73" s="27">
        <v>2.6483771251931993</v>
      </c>
      <c r="H73" s="28">
        <f t="shared" si="11"/>
        <v>9.000000000000008E-2</v>
      </c>
      <c r="I73" s="25"/>
      <c r="K73" s="21">
        <v>2340</v>
      </c>
      <c r="L73" s="9"/>
      <c r="W73">
        <v>2.8867310664605874</v>
      </c>
      <c r="X73">
        <v>1.06</v>
      </c>
      <c r="Y73">
        <f t="shared" si="13"/>
        <v>3.0599349304482226</v>
      </c>
    </row>
    <row r="74" spans="1:25" ht="72.75" customHeight="1" thickBot="1" x14ac:dyDescent="0.25">
      <c r="A74" s="22">
        <f t="shared" si="12"/>
        <v>62</v>
      </c>
      <c r="B74" s="23" t="s">
        <v>461</v>
      </c>
      <c r="C74" s="24" t="s">
        <v>504</v>
      </c>
      <c r="D74" s="25">
        <v>20</v>
      </c>
      <c r="E74" s="31" t="s">
        <v>26</v>
      </c>
      <c r="F74" s="27">
        <v>26.050223874345555</v>
      </c>
      <c r="G74" s="27">
        <v>23.899287958115185</v>
      </c>
      <c r="H74" s="28">
        <f t="shared" si="11"/>
        <v>9.000000000000008E-2</v>
      </c>
      <c r="I74" s="25"/>
      <c r="K74" s="21">
        <v>2340</v>
      </c>
      <c r="L74" s="9"/>
      <c r="W74">
        <v>26.050223874345555</v>
      </c>
      <c r="X74">
        <v>1.06</v>
      </c>
      <c r="Y74">
        <f t="shared" si="13"/>
        <v>27.61323730680629</v>
      </c>
    </row>
    <row r="75" spans="1:25" ht="27.75" customHeight="1" thickBot="1" x14ac:dyDescent="0.25">
      <c r="A75" s="22">
        <f t="shared" si="12"/>
        <v>63</v>
      </c>
      <c r="B75" s="23" t="s">
        <v>558</v>
      </c>
      <c r="C75" s="24" t="s">
        <v>504</v>
      </c>
      <c r="D75" s="25" t="s">
        <v>23</v>
      </c>
      <c r="E75" s="31" t="s">
        <v>69</v>
      </c>
      <c r="F75" s="27">
        <v>3.8723305759162305</v>
      </c>
      <c r="G75" s="27">
        <v>3.5525968586387435</v>
      </c>
      <c r="H75" s="28">
        <f t="shared" si="11"/>
        <v>9.000000000000008E-2</v>
      </c>
      <c r="I75" s="25"/>
      <c r="K75" s="21">
        <v>2340</v>
      </c>
      <c r="L75" s="9"/>
      <c r="W75">
        <v>3.8723305759162305</v>
      </c>
      <c r="X75">
        <v>1.06</v>
      </c>
      <c r="Y75">
        <f t="shared" si="13"/>
        <v>4.1046704104712042</v>
      </c>
    </row>
    <row r="76" spans="1:25" ht="77.25" customHeight="1" thickBot="1" x14ac:dyDescent="0.25">
      <c r="A76" s="22">
        <f t="shared" si="12"/>
        <v>64</v>
      </c>
      <c r="B76" s="23" t="s">
        <v>462</v>
      </c>
      <c r="C76" s="24" t="s">
        <v>504</v>
      </c>
      <c r="D76" s="25">
        <v>20</v>
      </c>
      <c r="E76" s="31" t="s">
        <v>26</v>
      </c>
      <c r="F76" s="27">
        <v>27.595244659685864</v>
      </c>
      <c r="G76" s="27">
        <v>25.316738219895285</v>
      </c>
      <c r="H76" s="28">
        <f t="shared" si="11"/>
        <v>9.000000000000008E-2</v>
      </c>
      <c r="I76" s="25"/>
      <c r="K76" s="21">
        <v>2340</v>
      </c>
      <c r="L76" s="9"/>
      <c r="W76">
        <v>27.595244659685864</v>
      </c>
      <c r="X76">
        <v>1.06</v>
      </c>
      <c r="Y76">
        <f t="shared" si="13"/>
        <v>29.250959339267016</v>
      </c>
    </row>
    <row r="77" spans="1:25" ht="28.5" customHeight="1" thickBot="1" x14ac:dyDescent="0.25">
      <c r="A77" s="22">
        <f t="shared" si="12"/>
        <v>65</v>
      </c>
      <c r="B77" s="64" t="s">
        <v>600</v>
      </c>
      <c r="C77" s="65" t="s">
        <v>504</v>
      </c>
      <c r="D77" s="66" t="s">
        <v>23</v>
      </c>
      <c r="E77" s="67" t="s">
        <v>69</v>
      </c>
      <c r="F77" s="68">
        <v>4.1461317277486911</v>
      </c>
      <c r="G77" s="68">
        <v>3.8037905759162305</v>
      </c>
      <c r="H77" s="69">
        <f t="shared" si="11"/>
        <v>8.9999999999999858E-2</v>
      </c>
      <c r="I77" s="25"/>
      <c r="K77" s="21">
        <v>2340</v>
      </c>
      <c r="L77" s="9"/>
      <c r="W77">
        <v>4.1461317277486911</v>
      </c>
      <c r="X77">
        <v>1.06</v>
      </c>
      <c r="Y77">
        <f t="shared" si="13"/>
        <v>4.3948996314136126</v>
      </c>
    </row>
    <row r="78" spans="1:25" ht="18.75" customHeight="1" thickBot="1" x14ac:dyDescent="0.25">
      <c r="A78" s="45" t="s">
        <v>92</v>
      </c>
      <c r="B78" s="163" t="s">
        <v>93</v>
      </c>
      <c r="C78" s="164"/>
      <c r="D78" s="164"/>
      <c r="E78" s="164"/>
      <c r="F78" s="164"/>
      <c r="G78" s="164"/>
      <c r="H78" s="165"/>
      <c r="I78" s="25"/>
      <c r="K78" s="21">
        <v>2340</v>
      </c>
      <c r="L78" s="9"/>
      <c r="X78">
        <v>1.06</v>
      </c>
      <c r="Y78">
        <f t="shared" si="13"/>
        <v>0</v>
      </c>
    </row>
    <row r="79" spans="1:25" ht="43.5" customHeight="1" thickBot="1" x14ac:dyDescent="0.25">
      <c r="A79" s="70">
        <f>+A77+1</f>
        <v>66</v>
      </c>
      <c r="B79" s="71" t="s">
        <v>94</v>
      </c>
      <c r="C79" s="160" t="s">
        <v>597</v>
      </c>
      <c r="D79" s="51">
        <v>2</v>
      </c>
      <c r="E79" s="73" t="s">
        <v>26</v>
      </c>
      <c r="F79" s="74">
        <v>1.9620000000000002</v>
      </c>
      <c r="G79" s="74">
        <v>1.8</v>
      </c>
      <c r="H79" s="75">
        <f t="shared" ref="H79:H80" si="14">IFERROR(+(F79/G79)-1,"--")</f>
        <v>9.000000000000008E-2</v>
      </c>
      <c r="I79" s="25"/>
      <c r="K79" s="21">
        <v>2340</v>
      </c>
      <c r="L79" s="9"/>
      <c r="W79">
        <v>1.9620000000000002</v>
      </c>
      <c r="X79">
        <v>1.06</v>
      </c>
      <c r="Y79">
        <f t="shared" si="13"/>
        <v>2.0797200000000005</v>
      </c>
    </row>
    <row r="80" spans="1:25" ht="45" customHeight="1" thickBot="1" x14ac:dyDescent="0.25">
      <c r="A80" s="76">
        <f>1+A79</f>
        <v>67</v>
      </c>
      <c r="B80" s="64" t="s">
        <v>95</v>
      </c>
      <c r="C80" s="160" t="s">
        <v>597</v>
      </c>
      <c r="D80" s="66">
        <v>8</v>
      </c>
      <c r="E80" s="67" t="s">
        <v>26</v>
      </c>
      <c r="F80" s="68">
        <v>3.5425000000000004</v>
      </c>
      <c r="G80" s="68">
        <v>3.25</v>
      </c>
      <c r="H80" s="69">
        <f t="shared" si="14"/>
        <v>9.000000000000008E-2</v>
      </c>
      <c r="I80" s="25"/>
      <c r="K80" s="21">
        <v>2340</v>
      </c>
      <c r="L80" s="9"/>
      <c r="W80">
        <v>3.5425000000000004</v>
      </c>
      <c r="X80">
        <v>1.06</v>
      </c>
      <c r="Y80">
        <f t="shared" si="13"/>
        <v>3.7550500000000007</v>
      </c>
    </row>
    <row r="81" spans="1:25" ht="20.25" customHeight="1" thickBot="1" x14ac:dyDescent="0.25">
      <c r="A81" s="45" t="s">
        <v>96</v>
      </c>
      <c r="B81" s="163" t="s">
        <v>97</v>
      </c>
      <c r="C81" s="164"/>
      <c r="D81" s="164"/>
      <c r="E81" s="164"/>
      <c r="F81" s="164"/>
      <c r="G81" s="164"/>
      <c r="H81" s="165"/>
      <c r="I81" s="25"/>
      <c r="K81" s="21">
        <v>2340</v>
      </c>
      <c r="L81" s="9"/>
      <c r="X81">
        <v>1.06</v>
      </c>
      <c r="Y81">
        <f t="shared" si="13"/>
        <v>0</v>
      </c>
    </row>
    <row r="82" spans="1:25" ht="42.75" customHeight="1" thickBot="1" x14ac:dyDescent="0.25">
      <c r="A82" s="77">
        <f>1+A80</f>
        <v>68</v>
      </c>
      <c r="B82" s="15" t="s">
        <v>98</v>
      </c>
      <c r="C82" s="158" t="s">
        <v>598</v>
      </c>
      <c r="D82" s="17">
        <v>2</v>
      </c>
      <c r="E82" s="78" t="s">
        <v>26</v>
      </c>
      <c r="F82" s="19">
        <v>4.3708999999999998</v>
      </c>
      <c r="G82" s="19">
        <v>4.01</v>
      </c>
      <c r="H82" s="20">
        <f t="shared" ref="H82:H85" si="15">IFERROR(+(F82/G82)-1,"--")</f>
        <v>9.000000000000008E-2</v>
      </c>
      <c r="I82" s="25"/>
      <c r="K82" s="21">
        <v>2340</v>
      </c>
      <c r="L82" s="79"/>
      <c r="W82">
        <v>4.3708999999999998</v>
      </c>
      <c r="X82">
        <v>1.06</v>
      </c>
      <c r="Y82">
        <f t="shared" si="13"/>
        <v>4.6331540000000002</v>
      </c>
    </row>
    <row r="83" spans="1:25" ht="27" customHeight="1" thickBot="1" x14ac:dyDescent="0.25">
      <c r="A83" s="48">
        <f t="shared" ref="A83:A85" si="16">1+A82</f>
        <v>69</v>
      </c>
      <c r="B83" s="49" t="s">
        <v>99</v>
      </c>
      <c r="C83" s="158" t="s">
        <v>598</v>
      </c>
      <c r="D83" s="25" t="s">
        <v>23</v>
      </c>
      <c r="E83" s="52" t="s">
        <v>26</v>
      </c>
      <c r="F83" s="53">
        <v>1.6350000000000002</v>
      </c>
      <c r="G83" s="53">
        <v>1.5</v>
      </c>
      <c r="H83" s="54">
        <f t="shared" si="15"/>
        <v>9.000000000000008E-2</v>
      </c>
      <c r="I83" s="25"/>
      <c r="K83" s="21">
        <v>2340</v>
      </c>
      <c r="L83" s="9"/>
      <c r="W83">
        <v>1.6350000000000002</v>
      </c>
      <c r="X83">
        <v>1.06</v>
      </c>
      <c r="Y83">
        <f t="shared" si="13"/>
        <v>1.7331000000000003</v>
      </c>
    </row>
    <row r="84" spans="1:25" ht="43.5" customHeight="1" thickBot="1" x14ac:dyDescent="0.25">
      <c r="A84" s="48">
        <f t="shared" si="16"/>
        <v>70</v>
      </c>
      <c r="B84" s="23" t="s">
        <v>578</v>
      </c>
      <c r="C84" s="158" t="s">
        <v>598</v>
      </c>
      <c r="D84" s="25">
        <v>40</v>
      </c>
      <c r="E84" s="31" t="s">
        <v>26</v>
      </c>
      <c r="F84" s="27">
        <v>19.478300000000001</v>
      </c>
      <c r="G84" s="27">
        <v>17.87</v>
      </c>
      <c r="H84" s="28">
        <f t="shared" si="15"/>
        <v>9.000000000000008E-2</v>
      </c>
      <c r="I84" s="25"/>
      <c r="K84" s="21">
        <v>2340</v>
      </c>
      <c r="L84" s="9"/>
      <c r="W84">
        <v>19.478300000000001</v>
      </c>
      <c r="X84">
        <v>1.06</v>
      </c>
      <c r="Y84">
        <f t="shared" si="13"/>
        <v>20.646998000000004</v>
      </c>
    </row>
    <row r="85" spans="1:25" ht="26.25" customHeight="1" thickBot="1" x14ac:dyDescent="0.25">
      <c r="A85" s="80">
        <f t="shared" si="16"/>
        <v>71</v>
      </c>
      <c r="B85" s="56" t="s">
        <v>100</v>
      </c>
      <c r="C85" s="158" t="s">
        <v>598</v>
      </c>
      <c r="D85" s="29" t="s">
        <v>23</v>
      </c>
      <c r="E85" s="81" t="s">
        <v>26</v>
      </c>
      <c r="F85" s="60">
        <v>7.3792999999999997</v>
      </c>
      <c r="G85" s="60">
        <v>6.77</v>
      </c>
      <c r="H85" s="61">
        <f t="shared" si="15"/>
        <v>9.000000000000008E-2</v>
      </c>
      <c r="I85" s="25"/>
      <c r="K85" s="21">
        <v>2340</v>
      </c>
      <c r="L85" s="9"/>
      <c r="W85">
        <v>7.3792999999999997</v>
      </c>
      <c r="X85">
        <v>1.06</v>
      </c>
      <c r="Y85">
        <f t="shared" si="13"/>
        <v>7.8220580000000002</v>
      </c>
    </row>
    <row r="86" spans="1:25" ht="20.25" customHeight="1" thickBot="1" x14ac:dyDescent="0.25">
      <c r="A86" s="45" t="s">
        <v>101</v>
      </c>
      <c r="B86" s="163" t="s">
        <v>102</v>
      </c>
      <c r="C86" s="164"/>
      <c r="D86" s="164"/>
      <c r="E86" s="164"/>
      <c r="F86" s="164"/>
      <c r="G86" s="164"/>
      <c r="H86" s="165"/>
      <c r="I86" s="25"/>
      <c r="K86" s="21">
        <v>2340</v>
      </c>
      <c r="L86" s="9"/>
      <c r="X86">
        <v>1.06</v>
      </c>
      <c r="Y86">
        <f t="shared" si="13"/>
        <v>0</v>
      </c>
    </row>
    <row r="87" spans="1:25" ht="20.25" customHeight="1" thickBot="1" x14ac:dyDescent="0.25">
      <c r="A87" s="45" t="s">
        <v>103</v>
      </c>
      <c r="B87" s="163" t="s">
        <v>104</v>
      </c>
      <c r="C87" s="164"/>
      <c r="D87" s="164"/>
      <c r="E87" s="164"/>
      <c r="F87" s="164"/>
      <c r="G87" s="164"/>
      <c r="H87" s="165"/>
      <c r="I87" s="25"/>
      <c r="K87" s="21">
        <v>2340</v>
      </c>
      <c r="L87" s="9"/>
      <c r="X87">
        <v>1.06</v>
      </c>
      <c r="Y87">
        <f t="shared" si="13"/>
        <v>0</v>
      </c>
    </row>
    <row r="88" spans="1:25" ht="111" customHeight="1" thickBot="1" x14ac:dyDescent="0.25">
      <c r="A88" s="48">
        <f>1+A85</f>
        <v>72</v>
      </c>
      <c r="B88" s="49" t="s">
        <v>105</v>
      </c>
      <c r="C88" s="175" t="s">
        <v>538</v>
      </c>
      <c r="D88" s="51">
        <v>1</v>
      </c>
      <c r="E88" s="52" t="s">
        <v>15</v>
      </c>
      <c r="F88" s="53">
        <v>9.6356000000000002</v>
      </c>
      <c r="G88" s="53">
        <v>8.84</v>
      </c>
      <c r="H88" s="54">
        <f t="shared" ref="H88:H93" si="17">IFERROR(+(F88/G88)-1,"--")</f>
        <v>9.000000000000008E-2</v>
      </c>
      <c r="I88" s="25"/>
      <c r="K88" s="21">
        <v>2340</v>
      </c>
      <c r="L88" s="9"/>
      <c r="W88">
        <v>9.6356000000000002</v>
      </c>
      <c r="X88">
        <v>1.06</v>
      </c>
      <c r="Y88">
        <f t="shared" si="13"/>
        <v>10.213736000000001</v>
      </c>
    </row>
    <row r="89" spans="1:25" ht="105" customHeight="1" thickBot="1" x14ac:dyDescent="0.25">
      <c r="A89" s="22">
        <f t="shared" ref="A89:A95" si="18">1+A88</f>
        <v>73</v>
      </c>
      <c r="B89" s="23" t="s">
        <v>489</v>
      </c>
      <c r="C89" s="175" t="s">
        <v>538</v>
      </c>
      <c r="D89" s="25">
        <v>1</v>
      </c>
      <c r="E89" s="31" t="s">
        <v>15</v>
      </c>
      <c r="F89" s="27">
        <v>10.485799999999999</v>
      </c>
      <c r="G89" s="27">
        <v>9.6199999999999992</v>
      </c>
      <c r="H89" s="28">
        <f t="shared" si="17"/>
        <v>9.000000000000008E-2</v>
      </c>
      <c r="I89" s="25"/>
      <c r="K89" s="21">
        <v>2340</v>
      </c>
      <c r="L89" s="9"/>
      <c r="W89">
        <v>10.485799999999999</v>
      </c>
      <c r="X89">
        <v>1.06</v>
      </c>
      <c r="Y89">
        <f t="shared" si="13"/>
        <v>11.114948</v>
      </c>
    </row>
    <row r="90" spans="1:25" ht="91.5" customHeight="1" thickBot="1" x14ac:dyDescent="0.25">
      <c r="A90" s="22">
        <f t="shared" si="18"/>
        <v>74</v>
      </c>
      <c r="B90" s="23" t="s">
        <v>106</v>
      </c>
      <c r="C90" s="175" t="s">
        <v>538</v>
      </c>
      <c r="D90" s="25">
        <v>1</v>
      </c>
      <c r="E90" s="31" t="s">
        <v>15</v>
      </c>
      <c r="F90" s="27">
        <v>12.295199999999999</v>
      </c>
      <c r="G90" s="27">
        <v>11.28</v>
      </c>
      <c r="H90" s="28">
        <f t="shared" si="17"/>
        <v>9.000000000000008E-2</v>
      </c>
      <c r="I90" s="25"/>
      <c r="K90" s="21">
        <v>2340</v>
      </c>
      <c r="L90" s="9"/>
      <c r="W90">
        <v>12.295199999999999</v>
      </c>
      <c r="X90">
        <v>1.06</v>
      </c>
      <c r="Y90">
        <f t="shared" si="13"/>
        <v>13.032912</v>
      </c>
    </row>
    <row r="91" spans="1:25" ht="107.25" customHeight="1" thickBot="1" x14ac:dyDescent="0.25">
      <c r="A91" s="22">
        <f t="shared" si="18"/>
        <v>75</v>
      </c>
      <c r="B91" s="23" t="s">
        <v>107</v>
      </c>
      <c r="C91" s="175" t="s">
        <v>538</v>
      </c>
      <c r="D91" s="25">
        <v>1</v>
      </c>
      <c r="E91" s="31" t="s">
        <v>15</v>
      </c>
      <c r="F91" s="27">
        <v>13.232600000000001</v>
      </c>
      <c r="G91" s="27">
        <v>12.14</v>
      </c>
      <c r="H91" s="28">
        <f t="shared" si="17"/>
        <v>9.000000000000008E-2</v>
      </c>
      <c r="I91" s="25"/>
      <c r="K91" s="21">
        <v>2340</v>
      </c>
      <c r="L91" s="9"/>
      <c r="W91">
        <v>13.232600000000001</v>
      </c>
      <c r="X91">
        <v>1.06</v>
      </c>
      <c r="Y91">
        <f t="shared" si="13"/>
        <v>14.026556000000003</v>
      </c>
    </row>
    <row r="92" spans="1:25" ht="108.75" customHeight="1" thickBot="1" x14ac:dyDescent="0.25">
      <c r="A92" s="22">
        <f t="shared" si="18"/>
        <v>76</v>
      </c>
      <c r="B92" s="23" t="s">
        <v>580</v>
      </c>
      <c r="C92" s="175" t="s">
        <v>538</v>
      </c>
      <c r="D92" s="25">
        <v>1</v>
      </c>
      <c r="E92" s="31" t="s">
        <v>15</v>
      </c>
      <c r="F92" s="27">
        <v>15.412600000000001</v>
      </c>
      <c r="G92" s="27">
        <v>14.14</v>
      </c>
      <c r="H92" s="28">
        <f t="shared" si="17"/>
        <v>9.000000000000008E-2</v>
      </c>
      <c r="I92" s="25"/>
      <c r="K92" s="21">
        <v>2340</v>
      </c>
      <c r="L92" s="9"/>
      <c r="W92">
        <v>15.412600000000001</v>
      </c>
      <c r="X92">
        <v>1.06</v>
      </c>
      <c r="Y92">
        <f t="shared" si="13"/>
        <v>16.337356000000003</v>
      </c>
    </row>
    <row r="93" spans="1:25" ht="108.75" customHeight="1" thickBot="1" x14ac:dyDescent="0.25">
      <c r="A93" s="22">
        <f t="shared" si="18"/>
        <v>77</v>
      </c>
      <c r="B93" s="174" t="s">
        <v>579</v>
      </c>
      <c r="C93" s="175" t="s">
        <v>36</v>
      </c>
      <c r="D93" s="25">
        <v>10</v>
      </c>
      <c r="E93" s="31" t="s">
        <v>15</v>
      </c>
      <c r="F93" s="27">
        <v>11.063500000000001</v>
      </c>
      <c r="G93" s="27">
        <v>10.15</v>
      </c>
      <c r="H93" s="28">
        <f t="shared" si="17"/>
        <v>9.000000000000008E-2</v>
      </c>
      <c r="I93" s="25"/>
      <c r="K93" s="21">
        <v>2340</v>
      </c>
      <c r="L93" s="25">
        <v>23400296</v>
      </c>
      <c r="W93">
        <v>11.063500000000001</v>
      </c>
      <c r="X93">
        <v>1.06</v>
      </c>
      <c r="Y93" s="177">
        <f t="shared" si="13"/>
        <v>11.727310000000001</v>
      </c>
    </row>
    <row r="94" spans="1:25" ht="43.5" customHeight="1" thickBot="1" x14ac:dyDescent="0.25">
      <c r="A94" s="22">
        <f t="shared" si="18"/>
        <v>78</v>
      </c>
      <c r="B94" s="174" t="s">
        <v>108</v>
      </c>
      <c r="C94" s="176" t="s">
        <v>23</v>
      </c>
      <c r="D94" s="25" t="s">
        <v>23</v>
      </c>
      <c r="E94" s="31" t="s">
        <v>109</v>
      </c>
      <c r="F94" s="27">
        <f>+F93/5</f>
        <v>2.2127000000000003</v>
      </c>
      <c r="G94" s="27"/>
      <c r="H94" s="28"/>
      <c r="I94" s="25"/>
      <c r="K94" s="21">
        <v>2340</v>
      </c>
      <c r="L94" s="25">
        <v>23400297</v>
      </c>
      <c r="W94">
        <v>2.2127000000000003</v>
      </c>
      <c r="X94">
        <v>1.06</v>
      </c>
      <c r="Y94" s="177">
        <f t="shared" si="13"/>
        <v>2.3454620000000004</v>
      </c>
    </row>
    <row r="95" spans="1:25" ht="43.5" customHeight="1" thickBot="1" x14ac:dyDescent="0.25">
      <c r="A95" s="22">
        <f t="shared" si="18"/>
        <v>79</v>
      </c>
      <c r="B95" s="174" t="s">
        <v>110</v>
      </c>
      <c r="C95" s="176" t="s">
        <v>23</v>
      </c>
      <c r="D95" s="25" t="s">
        <v>23</v>
      </c>
      <c r="E95" s="31" t="s">
        <v>111</v>
      </c>
      <c r="F95" s="27">
        <f>+F93/15</f>
        <v>0.7375666666666667</v>
      </c>
      <c r="G95" s="27"/>
      <c r="H95" s="28"/>
      <c r="I95" s="25"/>
      <c r="K95" s="21">
        <v>2340</v>
      </c>
      <c r="L95" s="25">
        <v>23400298</v>
      </c>
      <c r="W95">
        <v>0.7375666666666667</v>
      </c>
      <c r="X95">
        <v>1.06</v>
      </c>
      <c r="Y95" s="177">
        <f t="shared" si="13"/>
        <v>0.78182066666666672</v>
      </c>
    </row>
    <row r="96" spans="1:25" ht="108.75" customHeight="1" thickBot="1" x14ac:dyDescent="0.25">
      <c r="A96" s="22" t="s">
        <v>440</v>
      </c>
      <c r="B96" s="174" t="s">
        <v>112</v>
      </c>
      <c r="C96" s="176" t="s">
        <v>36</v>
      </c>
      <c r="D96" s="25">
        <v>20</v>
      </c>
      <c r="E96" s="31" t="s">
        <v>15</v>
      </c>
      <c r="F96" s="27">
        <v>14.606000000000002</v>
      </c>
      <c r="G96" s="27">
        <v>13.4</v>
      </c>
      <c r="H96" s="28">
        <f>IFERROR(+(F96/G96)-1,"--")</f>
        <v>9.000000000000008E-2</v>
      </c>
      <c r="I96" s="25"/>
      <c r="K96" s="21">
        <v>2340</v>
      </c>
      <c r="L96" s="25">
        <v>23400299</v>
      </c>
      <c r="W96">
        <v>14.606000000000002</v>
      </c>
      <c r="X96">
        <v>1.06</v>
      </c>
      <c r="Y96" s="177">
        <f t="shared" si="13"/>
        <v>15.482360000000002</v>
      </c>
    </row>
    <row r="97" spans="1:25" ht="43.5" customHeight="1" thickBot="1" x14ac:dyDescent="0.25">
      <c r="A97" s="22" t="s">
        <v>441</v>
      </c>
      <c r="B97" s="174" t="s">
        <v>113</v>
      </c>
      <c r="C97" s="24" t="s">
        <v>23</v>
      </c>
      <c r="D97" s="25" t="s">
        <v>23</v>
      </c>
      <c r="E97" s="31" t="s">
        <v>109</v>
      </c>
      <c r="F97" s="27">
        <v>2.9212000000000002</v>
      </c>
      <c r="G97" s="27"/>
      <c r="H97" s="28"/>
      <c r="I97" s="25"/>
      <c r="K97" s="21">
        <v>2340</v>
      </c>
      <c r="L97" s="25">
        <v>23400300</v>
      </c>
      <c r="W97">
        <v>2.9212000000000002</v>
      </c>
      <c r="X97">
        <v>1.06</v>
      </c>
      <c r="Y97" s="177">
        <f t="shared" si="13"/>
        <v>3.0964720000000003</v>
      </c>
    </row>
    <row r="98" spans="1:25" ht="43.5" customHeight="1" thickBot="1" x14ac:dyDescent="0.25">
      <c r="A98" s="22">
        <f>1+A95</f>
        <v>80</v>
      </c>
      <c r="B98" s="174" t="s">
        <v>114</v>
      </c>
      <c r="C98" s="24" t="s">
        <v>23</v>
      </c>
      <c r="D98" s="25" t="s">
        <v>23</v>
      </c>
      <c r="E98" s="31" t="s">
        <v>111</v>
      </c>
      <c r="F98" s="27">
        <v>0.97373333333333345</v>
      </c>
      <c r="G98" s="27"/>
      <c r="H98" s="28"/>
      <c r="I98" s="25"/>
      <c r="K98" s="21">
        <v>2340</v>
      </c>
      <c r="L98" s="25">
        <v>23400301</v>
      </c>
      <c r="W98">
        <v>0.97373333333333345</v>
      </c>
      <c r="X98">
        <v>1.06</v>
      </c>
      <c r="Y98" s="177">
        <f t="shared" si="13"/>
        <v>1.0321573333333336</v>
      </c>
    </row>
    <row r="99" spans="1:25" ht="43.5" customHeight="1" thickBot="1" x14ac:dyDescent="0.25">
      <c r="A99" s="45" t="s">
        <v>103</v>
      </c>
      <c r="B99" s="163" t="s">
        <v>115</v>
      </c>
      <c r="C99" s="164"/>
      <c r="D99" s="164"/>
      <c r="E99" s="164"/>
      <c r="F99" s="164"/>
      <c r="G99" s="164"/>
      <c r="H99" s="165"/>
      <c r="I99" s="25"/>
      <c r="K99" s="21">
        <v>2340</v>
      </c>
      <c r="L99" s="9"/>
      <c r="X99">
        <v>1.06</v>
      </c>
      <c r="Y99">
        <f t="shared" si="13"/>
        <v>0</v>
      </c>
    </row>
    <row r="100" spans="1:25" ht="108.75" customHeight="1" thickBot="1" x14ac:dyDescent="0.25">
      <c r="A100" s="22">
        <f>+A98+1</f>
        <v>81</v>
      </c>
      <c r="B100" s="23" t="s">
        <v>116</v>
      </c>
      <c r="C100" s="24" t="s">
        <v>36</v>
      </c>
      <c r="D100" s="25">
        <v>10</v>
      </c>
      <c r="E100" s="31" t="s">
        <v>15</v>
      </c>
      <c r="F100" s="27">
        <v>18.163499999999999</v>
      </c>
      <c r="G100" s="27"/>
      <c r="H100" s="28"/>
      <c r="I100" s="25"/>
      <c r="K100" s="21">
        <v>2340</v>
      </c>
      <c r="L100" s="25">
        <v>23400302</v>
      </c>
      <c r="W100">
        <v>18.163499999999999</v>
      </c>
      <c r="X100">
        <v>1.06</v>
      </c>
      <c r="Y100">
        <f t="shared" si="13"/>
        <v>19.253309999999999</v>
      </c>
    </row>
    <row r="101" spans="1:25" ht="43.5" customHeight="1" thickBot="1" x14ac:dyDescent="0.25">
      <c r="A101" s="22">
        <f t="shared" ref="A101:A108" si="19">+A100+1</f>
        <v>82</v>
      </c>
      <c r="B101" s="36" t="s">
        <v>117</v>
      </c>
      <c r="C101" s="24" t="s">
        <v>36</v>
      </c>
      <c r="D101" s="25" t="s">
        <v>23</v>
      </c>
      <c r="E101" s="31" t="s">
        <v>109</v>
      </c>
      <c r="F101" s="27">
        <v>5.0857800000000006</v>
      </c>
      <c r="G101" s="27">
        <v>5.6</v>
      </c>
      <c r="H101" s="28">
        <f>IFERROR(+(F101/G101)-1,"--")</f>
        <v>-9.1824999999999823E-2</v>
      </c>
      <c r="I101" s="25"/>
      <c r="K101" s="21">
        <v>2340</v>
      </c>
      <c r="L101" s="82">
        <v>23400303</v>
      </c>
      <c r="M101" s="83">
        <f>+F101/F100</f>
        <v>0.28000000000000003</v>
      </c>
      <c r="W101">
        <v>5.0857800000000006</v>
      </c>
      <c r="X101">
        <v>1.06</v>
      </c>
      <c r="Y101">
        <f t="shared" si="13"/>
        <v>5.3909268000000008</v>
      </c>
    </row>
    <row r="102" spans="1:25" ht="43.5" customHeight="1" thickBot="1" x14ac:dyDescent="0.25">
      <c r="A102" s="22">
        <f t="shared" si="19"/>
        <v>83</v>
      </c>
      <c r="B102" s="36" t="s">
        <v>118</v>
      </c>
      <c r="C102" s="24" t="s">
        <v>23</v>
      </c>
      <c r="D102" s="25" t="s">
        <v>23</v>
      </c>
      <c r="E102" s="31" t="s">
        <v>111</v>
      </c>
      <c r="F102" s="27">
        <v>1.2108999999999999</v>
      </c>
      <c r="G102" s="27"/>
      <c r="H102" s="28"/>
      <c r="I102" s="25"/>
      <c r="K102" s="21">
        <v>2340</v>
      </c>
      <c r="L102" s="82">
        <v>23400304</v>
      </c>
      <c r="W102">
        <v>1.2108999999999999</v>
      </c>
      <c r="X102">
        <v>1.06</v>
      </c>
      <c r="Y102">
        <f t="shared" si="13"/>
        <v>1.2835539999999999</v>
      </c>
    </row>
    <row r="103" spans="1:25" ht="108.75" customHeight="1" thickBot="1" x14ac:dyDescent="0.25">
      <c r="A103" s="22">
        <f t="shared" si="19"/>
        <v>84</v>
      </c>
      <c r="B103" s="36" t="s">
        <v>475</v>
      </c>
      <c r="C103" s="24" t="s">
        <v>36</v>
      </c>
      <c r="D103" s="25">
        <v>20</v>
      </c>
      <c r="E103" s="31" t="s">
        <v>15</v>
      </c>
      <c r="F103" s="27">
        <v>21.708440000000003</v>
      </c>
      <c r="G103" s="27"/>
      <c r="H103" s="28"/>
      <c r="I103" s="25"/>
      <c r="K103" s="21">
        <v>2340</v>
      </c>
      <c r="L103" s="82">
        <v>23400305</v>
      </c>
      <c r="M103" s="83">
        <f>+F103/5</f>
        <v>4.3416880000000004</v>
      </c>
      <c r="N103" s="83">
        <f>+F103/5</f>
        <v>4.3416880000000004</v>
      </c>
      <c r="W103">
        <v>21.708440000000003</v>
      </c>
      <c r="X103">
        <v>1.06</v>
      </c>
      <c r="Y103">
        <f t="shared" si="13"/>
        <v>23.010946400000005</v>
      </c>
    </row>
    <row r="104" spans="1:25" ht="43.5" customHeight="1" thickBot="1" x14ac:dyDescent="0.25">
      <c r="A104" s="22">
        <f t="shared" si="19"/>
        <v>85</v>
      </c>
      <c r="B104" s="36" t="s">
        <v>119</v>
      </c>
      <c r="C104" s="24" t="s">
        <v>36</v>
      </c>
      <c r="D104" s="25" t="s">
        <v>23</v>
      </c>
      <c r="E104" s="31" t="s">
        <v>109</v>
      </c>
      <c r="F104" s="27">
        <v>6.1040000000000001</v>
      </c>
      <c r="G104" s="27">
        <v>5.6</v>
      </c>
      <c r="H104" s="28">
        <f>IFERROR(+(F104/G104)-1,"--")</f>
        <v>9.000000000000008E-2</v>
      </c>
      <c r="I104" s="25"/>
      <c r="K104" s="21">
        <v>2340</v>
      </c>
      <c r="L104" s="82">
        <v>23400306</v>
      </c>
      <c r="M104" s="83">
        <f>+F104/F103</f>
        <v>0.28118096003213494</v>
      </c>
      <c r="U104" s="157">
        <f>F104/F103</f>
        <v>0.28118096003213494</v>
      </c>
      <c r="W104">
        <v>6.1040000000000001</v>
      </c>
      <c r="X104">
        <v>1.06</v>
      </c>
      <c r="Y104">
        <f>W104*X104</f>
        <v>6.4702400000000004</v>
      </c>
    </row>
    <row r="105" spans="1:25" ht="43.5" customHeight="1" thickBot="1" x14ac:dyDescent="0.25">
      <c r="A105" s="22">
        <f t="shared" si="19"/>
        <v>86</v>
      </c>
      <c r="B105" s="36" t="s">
        <v>120</v>
      </c>
      <c r="C105" s="24" t="s">
        <v>23</v>
      </c>
      <c r="D105" s="25" t="s">
        <v>23</v>
      </c>
      <c r="E105" s="31" t="s">
        <v>111</v>
      </c>
      <c r="F105" s="27">
        <v>1.4472293333333335</v>
      </c>
      <c r="G105" s="27"/>
      <c r="H105" s="28"/>
      <c r="I105" s="25"/>
      <c r="K105" s="21">
        <v>2340</v>
      </c>
      <c r="L105" s="82">
        <v>23400307</v>
      </c>
      <c r="U105" s="157">
        <f>F105/F103</f>
        <v>6.6666666666666666E-2</v>
      </c>
      <c r="W105">
        <v>1.4472293333333335</v>
      </c>
      <c r="X105">
        <v>1.06</v>
      </c>
      <c r="Y105">
        <f t="shared" si="13"/>
        <v>1.5340630933333335</v>
      </c>
    </row>
    <row r="106" spans="1:25" ht="108.75" customHeight="1" thickBot="1" x14ac:dyDescent="0.25">
      <c r="A106" s="22">
        <f t="shared" si="19"/>
        <v>87</v>
      </c>
      <c r="B106" s="36" t="s">
        <v>121</v>
      </c>
      <c r="C106" s="24" t="s">
        <v>36</v>
      </c>
      <c r="D106" s="25">
        <v>20</v>
      </c>
      <c r="E106" s="31" t="s">
        <v>26</v>
      </c>
      <c r="F106" s="27">
        <v>25.789400000000001</v>
      </c>
      <c r="G106" s="27"/>
      <c r="H106" s="28"/>
      <c r="I106" s="25"/>
      <c r="K106" s="21">
        <v>2340</v>
      </c>
      <c r="L106" s="82">
        <v>23400308</v>
      </c>
      <c r="W106">
        <v>25.789400000000001</v>
      </c>
      <c r="X106">
        <v>1.06</v>
      </c>
      <c r="Y106">
        <f t="shared" si="13"/>
        <v>27.336764000000002</v>
      </c>
    </row>
    <row r="107" spans="1:25" ht="43.5" customHeight="1" thickBot="1" x14ac:dyDescent="0.25">
      <c r="A107" s="22">
        <f t="shared" si="19"/>
        <v>88</v>
      </c>
      <c r="B107" s="36" t="s">
        <v>122</v>
      </c>
      <c r="C107" s="24" t="s">
        <v>36</v>
      </c>
      <c r="D107" s="25" t="s">
        <v>23</v>
      </c>
      <c r="E107" s="31" t="s">
        <v>26</v>
      </c>
      <c r="F107" s="27">
        <v>8.7963000000000005</v>
      </c>
      <c r="G107" s="27">
        <v>8.07</v>
      </c>
      <c r="H107" s="28">
        <f>IFERROR(+(F107/G107)-1,"--")</f>
        <v>9.000000000000008E-2</v>
      </c>
      <c r="I107" s="25"/>
      <c r="K107" s="21">
        <v>2340</v>
      </c>
      <c r="L107" s="82">
        <v>23400309</v>
      </c>
      <c r="U107" s="157">
        <f>F107/F106</f>
        <v>0.34108199492814878</v>
      </c>
      <c r="W107">
        <v>8.7963000000000005</v>
      </c>
      <c r="X107">
        <v>1.06</v>
      </c>
      <c r="Y107">
        <f t="shared" si="13"/>
        <v>9.3240780000000001</v>
      </c>
    </row>
    <row r="108" spans="1:25" ht="42.75" customHeight="1" thickBot="1" x14ac:dyDescent="0.25">
      <c r="A108" s="22">
        <f t="shared" si="19"/>
        <v>89</v>
      </c>
      <c r="B108" s="36" t="s">
        <v>123</v>
      </c>
      <c r="C108" s="24" t="s">
        <v>23</v>
      </c>
      <c r="D108" s="25" t="s">
        <v>23</v>
      </c>
      <c r="E108" s="31" t="s">
        <v>111</v>
      </c>
      <c r="F108" s="27">
        <v>1.7192933333333333</v>
      </c>
      <c r="G108" s="27"/>
      <c r="H108" s="28"/>
      <c r="I108" s="25"/>
      <c r="K108" s="21">
        <v>2340</v>
      </c>
      <c r="L108" s="82">
        <v>23400310</v>
      </c>
      <c r="U108" s="157">
        <f>F108/F106</f>
        <v>6.6666666666666666E-2</v>
      </c>
      <c r="W108">
        <v>1.7192933333333333</v>
      </c>
      <c r="X108">
        <v>1.06</v>
      </c>
      <c r="Y108">
        <f t="shared" si="13"/>
        <v>1.8224509333333334</v>
      </c>
    </row>
    <row r="109" spans="1:25" ht="35.25" customHeight="1" thickBot="1" x14ac:dyDescent="0.25">
      <c r="A109" s="45" t="s">
        <v>124</v>
      </c>
      <c r="B109" s="163" t="s">
        <v>125</v>
      </c>
      <c r="C109" s="164"/>
      <c r="D109" s="164"/>
      <c r="E109" s="164"/>
      <c r="F109" s="164"/>
      <c r="G109" s="164"/>
      <c r="H109" s="165"/>
      <c r="I109" s="25"/>
      <c r="K109" s="21">
        <v>2340</v>
      </c>
      <c r="L109" s="9"/>
      <c r="X109">
        <v>1.06</v>
      </c>
      <c r="Y109">
        <f t="shared" si="13"/>
        <v>0</v>
      </c>
    </row>
    <row r="110" spans="1:25" ht="81" customHeight="1" thickBot="1" x14ac:dyDescent="0.25">
      <c r="A110" s="22">
        <f>+A108+1</f>
        <v>90</v>
      </c>
      <c r="B110" s="23" t="s">
        <v>480</v>
      </c>
      <c r="C110" s="24" t="s">
        <v>126</v>
      </c>
      <c r="D110" s="25">
        <v>20</v>
      </c>
      <c r="E110" s="31" t="s">
        <v>15</v>
      </c>
      <c r="F110" s="27">
        <v>17.527200000000001</v>
      </c>
      <c r="G110" s="27">
        <v>16.079999999999998</v>
      </c>
      <c r="H110" s="28">
        <f t="shared" ref="H110:H111" si="20">IFERROR(+(F110/G110)-1,"--")</f>
        <v>9.000000000000008E-2</v>
      </c>
      <c r="I110" s="25"/>
      <c r="K110" s="21">
        <v>2340</v>
      </c>
      <c r="L110" s="9"/>
      <c r="W110">
        <v>17.527200000000001</v>
      </c>
      <c r="X110">
        <v>1.06</v>
      </c>
      <c r="Y110">
        <f t="shared" si="13"/>
        <v>18.578832000000002</v>
      </c>
    </row>
    <row r="111" spans="1:25" ht="96" customHeight="1" thickBot="1" x14ac:dyDescent="0.25">
      <c r="A111" s="22">
        <f t="shared" ref="A111:A112" si="21">1+A110</f>
        <v>91</v>
      </c>
      <c r="B111" s="64" t="s">
        <v>448</v>
      </c>
      <c r="C111" s="139" t="s">
        <v>126</v>
      </c>
      <c r="D111" s="66">
        <v>2</v>
      </c>
      <c r="E111" s="31" t="s">
        <v>15</v>
      </c>
      <c r="F111" s="68">
        <v>15.990300000000001</v>
      </c>
      <c r="G111" s="68">
        <v>14.67</v>
      </c>
      <c r="H111" s="69">
        <f t="shared" si="20"/>
        <v>9.000000000000008E-2</v>
      </c>
      <c r="I111" s="25">
        <v>23400180</v>
      </c>
      <c r="K111" s="21">
        <v>2340</v>
      </c>
      <c r="L111" s="9">
        <v>23400180</v>
      </c>
      <c r="W111">
        <v>15.990300000000001</v>
      </c>
      <c r="X111">
        <v>1.06</v>
      </c>
      <c r="Y111">
        <f t="shared" si="13"/>
        <v>16.949718000000001</v>
      </c>
    </row>
    <row r="112" spans="1:25" ht="42.75" customHeight="1" thickBot="1" x14ac:dyDescent="0.25">
      <c r="A112" s="22">
        <f t="shared" si="21"/>
        <v>92</v>
      </c>
      <c r="B112" s="23" t="s">
        <v>127</v>
      </c>
      <c r="C112" s="24" t="s">
        <v>23</v>
      </c>
      <c r="D112" s="25" t="s">
        <v>23</v>
      </c>
      <c r="E112" s="31" t="s">
        <v>111</v>
      </c>
      <c r="F112" s="27">
        <v>0.78</v>
      </c>
      <c r="G112" s="27"/>
      <c r="H112" s="28"/>
      <c r="I112" s="25"/>
      <c r="K112" s="21">
        <v>2340</v>
      </c>
      <c r="L112" s="9">
        <v>23400314</v>
      </c>
      <c r="W112">
        <v>0.78</v>
      </c>
      <c r="X112">
        <v>1.06</v>
      </c>
      <c r="Y112">
        <f t="shared" si="13"/>
        <v>0.82680000000000009</v>
      </c>
    </row>
    <row r="113" spans="1:25" ht="21.75" customHeight="1" thickBot="1" x14ac:dyDescent="0.25">
      <c r="A113" s="45" t="s">
        <v>128</v>
      </c>
      <c r="B113" s="163" t="s">
        <v>129</v>
      </c>
      <c r="C113" s="164"/>
      <c r="D113" s="164"/>
      <c r="E113" s="164"/>
      <c r="F113" s="164"/>
      <c r="G113" s="164"/>
      <c r="H113" s="165"/>
      <c r="I113" s="25"/>
      <c r="K113" s="21">
        <v>2340</v>
      </c>
      <c r="L113" s="9"/>
      <c r="X113">
        <v>1.06</v>
      </c>
      <c r="Y113">
        <f t="shared" si="13"/>
        <v>0</v>
      </c>
    </row>
    <row r="114" spans="1:25" ht="29.25" customHeight="1" thickBot="1" x14ac:dyDescent="0.25">
      <c r="A114" s="77">
        <f>+A112+1</f>
        <v>93</v>
      </c>
      <c r="B114" s="15" t="s">
        <v>130</v>
      </c>
      <c r="C114" s="16" t="s">
        <v>36</v>
      </c>
      <c r="D114" s="17">
        <v>2</v>
      </c>
      <c r="E114" s="78" t="s">
        <v>15</v>
      </c>
      <c r="F114" s="19">
        <v>6.7362000000000002</v>
      </c>
      <c r="G114" s="19">
        <v>6.18</v>
      </c>
      <c r="H114" s="20">
        <f t="shared" ref="H114:H119" si="22">IFERROR(+(F114/G114)-1,"--")</f>
        <v>9.000000000000008E-2</v>
      </c>
      <c r="I114" s="25"/>
      <c r="K114" s="21">
        <v>2340</v>
      </c>
      <c r="L114" s="9"/>
      <c r="W114">
        <v>6.7362000000000002</v>
      </c>
      <c r="X114">
        <v>1.06</v>
      </c>
      <c r="Y114">
        <f t="shared" si="13"/>
        <v>7.1403720000000002</v>
      </c>
    </row>
    <row r="115" spans="1:25" ht="29.25" customHeight="1" thickBot="1" x14ac:dyDescent="0.25">
      <c r="A115" s="22">
        <f t="shared" ref="A115:A119" si="23">1+A114</f>
        <v>94</v>
      </c>
      <c r="B115" s="49" t="s">
        <v>487</v>
      </c>
      <c r="C115" s="85" t="s">
        <v>126</v>
      </c>
      <c r="D115" s="51">
        <v>2</v>
      </c>
      <c r="E115" s="52" t="s">
        <v>15</v>
      </c>
      <c r="F115" s="53">
        <v>6.6163000000000007</v>
      </c>
      <c r="G115" s="53">
        <v>6.07</v>
      </c>
      <c r="H115" s="54">
        <f t="shared" si="22"/>
        <v>9.000000000000008E-2</v>
      </c>
      <c r="I115" s="25"/>
      <c r="K115" s="21">
        <v>2340</v>
      </c>
      <c r="L115" s="9"/>
      <c r="W115">
        <v>6.6163000000000007</v>
      </c>
      <c r="X115">
        <v>1.06</v>
      </c>
      <c r="Y115">
        <f t="shared" si="13"/>
        <v>7.0132780000000015</v>
      </c>
    </row>
    <row r="116" spans="1:25" ht="29.25" customHeight="1" thickBot="1" x14ac:dyDescent="0.25">
      <c r="A116" s="22">
        <f t="shared" si="23"/>
        <v>95</v>
      </c>
      <c r="B116" s="23" t="s">
        <v>131</v>
      </c>
      <c r="C116" s="24" t="s">
        <v>132</v>
      </c>
      <c r="D116" s="25">
        <v>2</v>
      </c>
      <c r="E116" s="31" t="s">
        <v>15</v>
      </c>
      <c r="F116" s="27">
        <v>7.117700000000001</v>
      </c>
      <c r="G116" s="27">
        <v>6.53</v>
      </c>
      <c r="H116" s="28">
        <f t="shared" si="22"/>
        <v>9.000000000000008E-2</v>
      </c>
      <c r="I116" s="25"/>
      <c r="K116" s="21">
        <v>2340</v>
      </c>
      <c r="L116" s="9"/>
      <c r="W116">
        <v>7.117700000000001</v>
      </c>
      <c r="X116">
        <v>1.06</v>
      </c>
      <c r="Y116">
        <f t="shared" si="13"/>
        <v>7.5447620000000013</v>
      </c>
    </row>
    <row r="117" spans="1:25" ht="29.25" customHeight="1" thickBot="1" x14ac:dyDescent="0.25">
      <c r="A117" s="76">
        <f t="shared" si="23"/>
        <v>96</v>
      </c>
      <c r="B117" s="86" t="s">
        <v>486</v>
      </c>
      <c r="C117" s="84" t="s">
        <v>126</v>
      </c>
      <c r="D117" s="25">
        <v>2</v>
      </c>
      <c r="E117" s="67" t="s">
        <v>15</v>
      </c>
      <c r="F117" s="27">
        <v>5.5808000000000009</v>
      </c>
      <c r="G117" s="27">
        <v>5.12</v>
      </c>
      <c r="H117" s="28">
        <f t="shared" si="22"/>
        <v>9.000000000000008E-2</v>
      </c>
      <c r="I117" s="25"/>
      <c r="K117" s="21">
        <v>2340</v>
      </c>
      <c r="L117" s="9"/>
      <c r="M117" s="83">
        <f>+F117*0.65</f>
        <v>3.6275200000000005</v>
      </c>
      <c r="N117" s="83">
        <f>+M117/5</f>
        <v>0.72550400000000015</v>
      </c>
      <c r="W117">
        <v>5.5808000000000009</v>
      </c>
      <c r="X117">
        <v>1.06</v>
      </c>
      <c r="Y117">
        <f t="shared" si="13"/>
        <v>5.9156480000000009</v>
      </c>
    </row>
    <row r="118" spans="1:25" ht="29.25" customHeight="1" thickBot="1" x14ac:dyDescent="0.25">
      <c r="A118" s="87">
        <f t="shared" si="23"/>
        <v>97</v>
      </c>
      <c r="B118" s="88" t="s">
        <v>133</v>
      </c>
      <c r="C118" s="89" t="s">
        <v>36</v>
      </c>
      <c r="D118" s="90" t="s">
        <v>134</v>
      </c>
      <c r="E118" s="57" t="s">
        <v>15</v>
      </c>
      <c r="F118" s="91">
        <v>6.5400000000000009</v>
      </c>
      <c r="G118" s="91">
        <v>6</v>
      </c>
      <c r="H118" s="92">
        <f t="shared" si="22"/>
        <v>9.000000000000008E-2</v>
      </c>
      <c r="I118" s="25"/>
      <c r="K118" s="21">
        <v>2340</v>
      </c>
      <c r="L118" s="9"/>
      <c r="W118">
        <v>6.5400000000000009</v>
      </c>
      <c r="X118">
        <v>1.06</v>
      </c>
      <c r="Y118">
        <f t="shared" si="13"/>
        <v>6.9324000000000012</v>
      </c>
    </row>
    <row r="119" spans="1:25" ht="29.25" customHeight="1" thickBot="1" x14ac:dyDescent="0.25">
      <c r="A119" s="87">
        <f t="shared" si="23"/>
        <v>98</v>
      </c>
      <c r="B119" s="23" t="s">
        <v>135</v>
      </c>
      <c r="C119" s="24" t="s">
        <v>126</v>
      </c>
      <c r="D119" s="25" t="s">
        <v>134</v>
      </c>
      <c r="E119" s="31" t="s">
        <v>111</v>
      </c>
      <c r="F119" s="27">
        <v>0.84</v>
      </c>
      <c r="G119" s="27">
        <v>0.84</v>
      </c>
      <c r="H119" s="28">
        <f t="shared" si="22"/>
        <v>0</v>
      </c>
      <c r="I119" s="25"/>
      <c r="K119" s="21">
        <v>2340</v>
      </c>
      <c r="L119" s="9"/>
      <c r="W119">
        <v>0.84</v>
      </c>
      <c r="X119">
        <v>1.06</v>
      </c>
      <c r="Y119">
        <f t="shared" si="13"/>
        <v>0.89039999999999997</v>
      </c>
    </row>
    <row r="120" spans="1:25" ht="19.5" customHeight="1" thickBot="1" x14ac:dyDescent="0.25">
      <c r="A120" s="45" t="s">
        <v>136</v>
      </c>
      <c r="B120" s="163" t="s">
        <v>137</v>
      </c>
      <c r="C120" s="164"/>
      <c r="D120" s="164"/>
      <c r="E120" s="164"/>
      <c r="F120" s="164"/>
      <c r="G120" s="164"/>
      <c r="H120" s="165"/>
      <c r="I120" s="25"/>
      <c r="K120" s="21">
        <v>2340</v>
      </c>
      <c r="L120" s="9"/>
      <c r="X120">
        <v>1.06</v>
      </c>
      <c r="Y120">
        <f t="shared" si="13"/>
        <v>0</v>
      </c>
    </row>
    <row r="121" spans="1:25" ht="22.5" customHeight="1" thickBot="1" x14ac:dyDescent="0.25">
      <c r="A121" s="10" t="s">
        <v>138</v>
      </c>
      <c r="B121" s="163" t="s">
        <v>139</v>
      </c>
      <c r="C121" s="164"/>
      <c r="D121" s="164"/>
      <c r="E121" s="164"/>
      <c r="F121" s="164"/>
      <c r="G121" s="164"/>
      <c r="H121" s="165"/>
      <c r="I121" s="25"/>
      <c r="K121" s="21">
        <v>2340</v>
      </c>
      <c r="L121" s="9"/>
      <c r="X121">
        <v>1.06</v>
      </c>
      <c r="Y121">
        <f t="shared" si="13"/>
        <v>0</v>
      </c>
    </row>
    <row r="122" spans="1:25" ht="57.75" customHeight="1" thickBot="1" x14ac:dyDescent="0.25">
      <c r="A122" s="48">
        <f>+A119+1</f>
        <v>99</v>
      </c>
      <c r="B122" s="49" t="s">
        <v>140</v>
      </c>
      <c r="C122" s="50" t="s">
        <v>515</v>
      </c>
      <c r="D122" s="51">
        <v>1</v>
      </c>
      <c r="E122" s="52" t="s">
        <v>26</v>
      </c>
      <c r="F122" s="53">
        <v>7.194</v>
      </c>
      <c r="G122" s="53">
        <v>6.6</v>
      </c>
      <c r="H122" s="54">
        <f t="shared" ref="H122:H125" si="24">IFERROR(+(F122/G122)-1,"--")</f>
        <v>9.000000000000008E-2</v>
      </c>
      <c r="I122" s="25"/>
      <c r="K122" s="21">
        <v>2340</v>
      </c>
      <c r="L122" s="9"/>
      <c r="W122">
        <v>7.194</v>
      </c>
      <c r="X122">
        <v>1.06</v>
      </c>
      <c r="Y122">
        <f t="shared" si="13"/>
        <v>7.6256400000000006</v>
      </c>
    </row>
    <row r="123" spans="1:25" ht="56.25" customHeight="1" thickBot="1" x14ac:dyDescent="0.25">
      <c r="A123" s="22">
        <f t="shared" ref="A123:A125" si="25">+A122+1</f>
        <v>100</v>
      </c>
      <c r="B123" s="23" t="s">
        <v>141</v>
      </c>
      <c r="C123" s="24" t="s">
        <v>515</v>
      </c>
      <c r="D123" s="25">
        <v>2</v>
      </c>
      <c r="E123" s="31" t="s">
        <v>26</v>
      </c>
      <c r="F123" s="27">
        <v>7.194</v>
      </c>
      <c r="G123" s="27">
        <v>6.6</v>
      </c>
      <c r="H123" s="28">
        <f t="shared" si="24"/>
        <v>9.000000000000008E-2</v>
      </c>
      <c r="I123" s="25"/>
      <c r="K123" s="21">
        <v>2340</v>
      </c>
      <c r="L123" s="9"/>
      <c r="W123">
        <v>7.194</v>
      </c>
      <c r="X123">
        <v>1.06</v>
      </c>
      <c r="Y123">
        <f t="shared" si="13"/>
        <v>7.6256400000000006</v>
      </c>
    </row>
    <row r="124" spans="1:25" ht="58.5" customHeight="1" thickBot="1" x14ac:dyDescent="0.25">
      <c r="A124" s="22">
        <f t="shared" si="25"/>
        <v>101</v>
      </c>
      <c r="B124" s="140" t="s">
        <v>450</v>
      </c>
      <c r="C124" s="24" t="s">
        <v>516</v>
      </c>
      <c r="D124" s="25">
        <v>8</v>
      </c>
      <c r="E124" s="31" t="s">
        <v>26</v>
      </c>
      <c r="F124" s="27">
        <v>10.224200000000002</v>
      </c>
      <c r="G124" s="27">
        <v>9.3800000000000008</v>
      </c>
      <c r="H124" s="28">
        <f t="shared" si="24"/>
        <v>9.000000000000008E-2</v>
      </c>
      <c r="I124" s="25"/>
      <c r="K124" s="21">
        <v>2340</v>
      </c>
      <c r="L124" s="9"/>
      <c r="W124">
        <v>10.224200000000002</v>
      </c>
      <c r="X124">
        <v>1.06</v>
      </c>
      <c r="Y124">
        <f t="shared" si="13"/>
        <v>10.837652000000002</v>
      </c>
    </row>
    <row r="125" spans="1:25" ht="59.25" customHeight="1" thickBot="1" x14ac:dyDescent="0.25">
      <c r="A125" s="93">
        <f t="shared" si="25"/>
        <v>102</v>
      </c>
      <c r="B125" s="141" t="s">
        <v>454</v>
      </c>
      <c r="C125" s="57" t="s">
        <v>515</v>
      </c>
      <c r="D125" s="29">
        <v>20</v>
      </c>
      <c r="E125" s="59" t="s">
        <v>26</v>
      </c>
      <c r="F125" s="60">
        <v>16.535299999999999</v>
      </c>
      <c r="G125" s="60">
        <v>15.17</v>
      </c>
      <c r="H125" s="61">
        <f t="shared" si="24"/>
        <v>8.9999999999999858E-2</v>
      </c>
      <c r="I125" s="25"/>
      <c r="K125" s="21">
        <v>2340</v>
      </c>
      <c r="L125" s="9"/>
      <c r="W125">
        <v>16.535299999999999</v>
      </c>
      <c r="X125">
        <v>1.06</v>
      </c>
      <c r="Y125">
        <f t="shared" si="13"/>
        <v>17.527418000000001</v>
      </c>
    </row>
    <row r="126" spans="1:25" ht="26.25" customHeight="1" thickBot="1" x14ac:dyDescent="0.25">
      <c r="A126" s="10" t="s">
        <v>142</v>
      </c>
      <c r="B126" s="163" t="s">
        <v>143</v>
      </c>
      <c r="C126" s="164"/>
      <c r="D126" s="164"/>
      <c r="E126" s="164"/>
      <c r="F126" s="164"/>
      <c r="G126" s="164"/>
      <c r="H126" s="165"/>
      <c r="I126" s="25"/>
      <c r="K126" s="21">
        <v>2340</v>
      </c>
      <c r="L126" s="9"/>
      <c r="X126">
        <v>1.06</v>
      </c>
      <c r="Y126">
        <f t="shared" si="13"/>
        <v>0</v>
      </c>
    </row>
    <row r="127" spans="1:25" ht="108.75" customHeight="1" thickBot="1" x14ac:dyDescent="0.25">
      <c r="A127" s="77">
        <f>+A125+1</f>
        <v>103</v>
      </c>
      <c r="B127" s="15" t="s">
        <v>144</v>
      </c>
      <c r="C127" s="16" t="s">
        <v>517</v>
      </c>
      <c r="D127" s="17">
        <v>1</v>
      </c>
      <c r="E127" s="78" t="s">
        <v>26</v>
      </c>
      <c r="F127" s="19">
        <v>9.2759</v>
      </c>
      <c r="G127" s="19">
        <v>8.51</v>
      </c>
      <c r="H127" s="20">
        <f t="shared" ref="H127:H132" si="26">IFERROR(+(F127/G127)-1,"--")</f>
        <v>9.000000000000008E-2</v>
      </c>
      <c r="I127" s="25"/>
      <c r="K127" s="21">
        <v>2340</v>
      </c>
      <c r="L127" s="9"/>
      <c r="W127">
        <v>9.2759</v>
      </c>
      <c r="X127">
        <v>1.06</v>
      </c>
      <c r="Y127">
        <f t="shared" si="13"/>
        <v>9.8324540000000002</v>
      </c>
    </row>
    <row r="128" spans="1:25" ht="108.75" customHeight="1" thickBot="1" x14ac:dyDescent="0.25">
      <c r="A128" s="22">
        <f t="shared" ref="A128:A137" si="27">1+A127</f>
        <v>104</v>
      </c>
      <c r="B128" s="23" t="s">
        <v>581</v>
      </c>
      <c r="C128" s="24" t="s">
        <v>517</v>
      </c>
      <c r="D128" s="25">
        <v>2</v>
      </c>
      <c r="E128" s="31" t="s">
        <v>26</v>
      </c>
      <c r="F128" s="27">
        <v>9.2759</v>
      </c>
      <c r="G128" s="27">
        <v>8.51</v>
      </c>
      <c r="H128" s="28">
        <f t="shared" si="26"/>
        <v>9.000000000000008E-2</v>
      </c>
      <c r="I128" s="25"/>
      <c r="K128" s="21">
        <v>2340</v>
      </c>
      <c r="L128" s="9">
        <v>23400190</v>
      </c>
      <c r="W128">
        <v>9.2759</v>
      </c>
      <c r="X128">
        <v>1.06</v>
      </c>
      <c r="Y128">
        <f t="shared" si="13"/>
        <v>9.8324540000000002</v>
      </c>
    </row>
    <row r="129" spans="1:25" ht="108.75" customHeight="1" thickBot="1" x14ac:dyDescent="0.25">
      <c r="A129" s="22">
        <f t="shared" si="27"/>
        <v>105</v>
      </c>
      <c r="B129" s="140" t="s">
        <v>451</v>
      </c>
      <c r="C129" s="24" t="s">
        <v>517</v>
      </c>
      <c r="D129" s="25">
        <v>8</v>
      </c>
      <c r="E129" s="31" t="s">
        <v>26</v>
      </c>
      <c r="F129" s="27">
        <v>14.104600000000001</v>
      </c>
      <c r="G129" s="27">
        <v>12.94</v>
      </c>
      <c r="H129" s="28">
        <f t="shared" si="26"/>
        <v>9.000000000000008E-2</v>
      </c>
      <c r="I129" s="25"/>
      <c r="K129" s="21">
        <v>2340</v>
      </c>
      <c r="L129" s="9"/>
      <c r="W129">
        <v>14.104600000000001</v>
      </c>
      <c r="X129">
        <v>1.06</v>
      </c>
      <c r="Y129">
        <f t="shared" si="13"/>
        <v>14.950876000000003</v>
      </c>
    </row>
    <row r="130" spans="1:25" ht="108.75" customHeight="1" thickBot="1" x14ac:dyDescent="0.25">
      <c r="A130" s="22">
        <f t="shared" si="27"/>
        <v>106</v>
      </c>
      <c r="B130" s="140" t="s">
        <v>455</v>
      </c>
      <c r="C130" s="24" t="s">
        <v>517</v>
      </c>
      <c r="D130" s="25">
        <v>20</v>
      </c>
      <c r="E130" s="31" t="s">
        <v>26</v>
      </c>
      <c r="F130" s="27">
        <v>20.819000000000003</v>
      </c>
      <c r="G130" s="27">
        <v>19.100000000000001</v>
      </c>
      <c r="H130" s="28">
        <f t="shared" si="26"/>
        <v>9.000000000000008E-2</v>
      </c>
      <c r="I130" s="25"/>
      <c r="K130" s="21">
        <v>2340</v>
      </c>
      <c r="L130" s="9">
        <f>+K130*0.7</f>
        <v>1638</v>
      </c>
      <c r="W130">
        <v>20.819000000000003</v>
      </c>
      <c r="X130">
        <v>1.06</v>
      </c>
      <c r="Y130">
        <f t="shared" si="13"/>
        <v>22.068140000000003</v>
      </c>
    </row>
    <row r="131" spans="1:25" ht="108.75" customHeight="1" thickBot="1" x14ac:dyDescent="0.25">
      <c r="A131" s="22">
        <f t="shared" si="27"/>
        <v>107</v>
      </c>
      <c r="B131" s="23" t="s">
        <v>145</v>
      </c>
      <c r="C131" s="24" t="s">
        <v>517</v>
      </c>
      <c r="D131" s="25">
        <v>2</v>
      </c>
      <c r="E131" s="31" t="s">
        <v>26</v>
      </c>
      <c r="F131" s="27">
        <v>11.935499999999999</v>
      </c>
      <c r="G131" s="27">
        <v>10.95</v>
      </c>
      <c r="H131" s="28">
        <f t="shared" si="26"/>
        <v>9.000000000000008E-2</v>
      </c>
      <c r="I131" s="25"/>
      <c r="K131" s="21">
        <v>2340</v>
      </c>
      <c r="L131" s="9"/>
      <c r="W131">
        <v>11.935499999999999</v>
      </c>
      <c r="X131">
        <v>1.06</v>
      </c>
      <c r="Y131">
        <f t="shared" si="13"/>
        <v>12.651629999999999</v>
      </c>
    </row>
    <row r="132" spans="1:25" ht="48" customHeight="1" thickBot="1" x14ac:dyDescent="0.25">
      <c r="A132" s="22">
        <f t="shared" si="27"/>
        <v>108</v>
      </c>
      <c r="B132" s="23" t="s">
        <v>146</v>
      </c>
      <c r="C132" s="24" t="s">
        <v>36</v>
      </c>
      <c r="D132" s="25" t="s">
        <v>23</v>
      </c>
      <c r="E132" s="31" t="s">
        <v>111</v>
      </c>
      <c r="F132" s="27">
        <v>1.98</v>
      </c>
      <c r="G132" s="27">
        <v>5.6</v>
      </c>
      <c r="H132" s="28">
        <f t="shared" si="26"/>
        <v>-0.64642857142857135</v>
      </c>
      <c r="I132" s="25"/>
      <c r="K132" s="21">
        <v>2340</v>
      </c>
      <c r="L132" s="9"/>
      <c r="W132">
        <v>1.98</v>
      </c>
      <c r="X132">
        <v>1.06</v>
      </c>
      <c r="Y132">
        <f t="shared" si="13"/>
        <v>2.0988000000000002</v>
      </c>
    </row>
    <row r="133" spans="1:25" ht="48" customHeight="1" thickBot="1" x14ac:dyDescent="0.25">
      <c r="A133" s="22">
        <f t="shared" si="27"/>
        <v>109</v>
      </c>
      <c r="B133" s="23" t="s">
        <v>147</v>
      </c>
      <c r="C133" s="24" t="s">
        <v>36</v>
      </c>
      <c r="D133" s="25" t="s">
        <v>23</v>
      </c>
      <c r="E133" s="31" t="s">
        <v>148</v>
      </c>
      <c r="F133" s="27">
        <v>0.53</v>
      </c>
      <c r="G133" s="27"/>
      <c r="H133" s="28"/>
      <c r="I133" s="25"/>
      <c r="K133" s="21">
        <v>2340</v>
      </c>
      <c r="L133" s="9"/>
      <c r="W133">
        <v>0.53</v>
      </c>
      <c r="X133">
        <v>1.06</v>
      </c>
      <c r="Y133">
        <f t="shared" si="13"/>
        <v>0.56180000000000008</v>
      </c>
    </row>
    <row r="134" spans="1:25" ht="48" customHeight="1" thickBot="1" x14ac:dyDescent="0.25">
      <c r="A134" s="22">
        <f t="shared" si="27"/>
        <v>110</v>
      </c>
      <c r="B134" s="23" t="s">
        <v>149</v>
      </c>
      <c r="C134" s="24" t="s">
        <v>36</v>
      </c>
      <c r="D134" s="25" t="s">
        <v>23</v>
      </c>
      <c r="E134" s="31" t="s">
        <v>111</v>
      </c>
      <c r="F134" s="27">
        <v>3.05</v>
      </c>
      <c r="G134" s="27">
        <v>5.6</v>
      </c>
      <c r="H134" s="28">
        <f>IFERROR(+(F134/G134)-1,"--")</f>
        <v>-0.4553571428571429</v>
      </c>
      <c r="I134" s="25"/>
      <c r="K134" s="21">
        <v>2340</v>
      </c>
      <c r="L134" s="9"/>
      <c r="W134">
        <v>3.05</v>
      </c>
      <c r="X134">
        <v>1.06</v>
      </c>
      <c r="Y134">
        <f t="shared" ref="Y134:Y197" si="28">W134*X134</f>
        <v>3.2330000000000001</v>
      </c>
    </row>
    <row r="135" spans="1:25" ht="48" customHeight="1" thickBot="1" x14ac:dyDescent="0.25">
      <c r="A135" s="22">
        <f t="shared" si="27"/>
        <v>111</v>
      </c>
      <c r="B135" s="23" t="s">
        <v>150</v>
      </c>
      <c r="C135" s="24" t="s">
        <v>36</v>
      </c>
      <c r="D135" s="25" t="s">
        <v>23</v>
      </c>
      <c r="E135" s="31" t="s">
        <v>148</v>
      </c>
      <c r="F135" s="27">
        <v>0.8</v>
      </c>
      <c r="G135" s="27"/>
      <c r="H135" s="28"/>
      <c r="I135" s="25"/>
      <c r="K135" s="21">
        <v>2340</v>
      </c>
      <c r="L135" s="9"/>
      <c r="W135">
        <v>0.8</v>
      </c>
      <c r="X135">
        <v>1.06</v>
      </c>
      <c r="Y135">
        <f t="shared" si="28"/>
        <v>0.84800000000000009</v>
      </c>
    </row>
    <row r="136" spans="1:25" ht="48" customHeight="1" thickBot="1" x14ac:dyDescent="0.25">
      <c r="A136" s="22">
        <f t="shared" si="27"/>
        <v>112</v>
      </c>
      <c r="B136" s="23" t="s">
        <v>151</v>
      </c>
      <c r="C136" s="24" t="s">
        <v>36</v>
      </c>
      <c r="D136" s="25" t="s">
        <v>23</v>
      </c>
      <c r="E136" s="31" t="s">
        <v>111</v>
      </c>
      <c r="F136" s="27">
        <v>4.4000000000000004</v>
      </c>
      <c r="G136" s="27">
        <v>5.6</v>
      </c>
      <c r="H136" s="28">
        <f>IFERROR(+(F136/G136)-1,"--")</f>
        <v>-0.21428571428571419</v>
      </c>
      <c r="I136" s="25"/>
      <c r="K136" s="21">
        <v>2340</v>
      </c>
      <c r="L136" s="9"/>
      <c r="W136">
        <v>4.4000000000000004</v>
      </c>
      <c r="X136">
        <v>1.06</v>
      </c>
      <c r="Y136">
        <f t="shared" si="28"/>
        <v>4.6640000000000006</v>
      </c>
    </row>
    <row r="137" spans="1:25" ht="48" customHeight="1" thickBot="1" x14ac:dyDescent="0.25">
      <c r="A137" s="22">
        <f t="shared" si="27"/>
        <v>113</v>
      </c>
      <c r="B137" s="23" t="s">
        <v>152</v>
      </c>
      <c r="C137" s="24" t="s">
        <v>36</v>
      </c>
      <c r="D137" s="25" t="s">
        <v>23</v>
      </c>
      <c r="E137" s="31" t="s">
        <v>148</v>
      </c>
      <c r="F137" s="27">
        <v>1.18</v>
      </c>
      <c r="G137" s="27"/>
      <c r="H137" s="28"/>
      <c r="I137" s="25"/>
      <c r="K137" s="21">
        <v>2340</v>
      </c>
      <c r="L137" s="9"/>
      <c r="W137">
        <v>1.18</v>
      </c>
      <c r="X137">
        <v>1.06</v>
      </c>
      <c r="Y137">
        <f t="shared" si="28"/>
        <v>1.2507999999999999</v>
      </c>
    </row>
    <row r="138" spans="1:25" ht="25.5" customHeight="1" thickBot="1" x14ac:dyDescent="0.25">
      <c r="A138" s="10" t="s">
        <v>153</v>
      </c>
      <c r="B138" s="163" t="s">
        <v>154</v>
      </c>
      <c r="C138" s="164"/>
      <c r="D138" s="164"/>
      <c r="E138" s="164"/>
      <c r="F138" s="164"/>
      <c r="G138" s="164"/>
      <c r="H138" s="165"/>
      <c r="I138" s="25"/>
      <c r="K138" s="21">
        <v>2340</v>
      </c>
      <c r="L138" s="9"/>
      <c r="X138">
        <v>1.06</v>
      </c>
      <c r="Y138">
        <f t="shared" si="28"/>
        <v>0</v>
      </c>
    </row>
    <row r="139" spans="1:25" ht="98.25" customHeight="1" thickBot="1" x14ac:dyDescent="0.25">
      <c r="A139" s="48">
        <f>+A137+1</f>
        <v>114</v>
      </c>
      <c r="B139" s="49" t="s">
        <v>155</v>
      </c>
      <c r="C139" s="50" t="s">
        <v>518</v>
      </c>
      <c r="D139" s="51">
        <v>1</v>
      </c>
      <c r="E139" s="52" t="s">
        <v>26</v>
      </c>
      <c r="F139" s="53">
        <v>9.2759</v>
      </c>
      <c r="G139" s="53">
        <v>8.51</v>
      </c>
      <c r="H139" s="54">
        <f t="shared" ref="H139:H143" si="29">IFERROR(+(F139/G139)-1,"--")</f>
        <v>9.000000000000008E-2</v>
      </c>
      <c r="I139" s="25"/>
      <c r="K139" s="21">
        <v>2340</v>
      </c>
      <c r="L139" s="9"/>
      <c r="W139">
        <v>9.2759</v>
      </c>
      <c r="X139">
        <v>1.06</v>
      </c>
      <c r="Y139">
        <f t="shared" si="28"/>
        <v>9.8324540000000002</v>
      </c>
    </row>
    <row r="140" spans="1:25" ht="111.75" customHeight="1" thickBot="1" x14ac:dyDescent="0.25">
      <c r="A140" s="22">
        <f t="shared" ref="A140:A148" si="30">1+A139</f>
        <v>115</v>
      </c>
      <c r="B140" s="23" t="s">
        <v>156</v>
      </c>
      <c r="C140" s="24" t="s">
        <v>518</v>
      </c>
      <c r="D140" s="25">
        <v>2</v>
      </c>
      <c r="E140" s="31" t="s">
        <v>26</v>
      </c>
      <c r="F140" s="27">
        <v>9.2759</v>
      </c>
      <c r="G140" s="27">
        <v>8.51</v>
      </c>
      <c r="H140" s="28">
        <f t="shared" si="29"/>
        <v>9.000000000000008E-2</v>
      </c>
      <c r="I140" s="25"/>
      <c r="K140" s="21">
        <v>2340</v>
      </c>
      <c r="L140" s="9"/>
      <c r="W140">
        <v>9.2759</v>
      </c>
      <c r="X140">
        <v>1.06</v>
      </c>
      <c r="Y140">
        <f t="shared" si="28"/>
        <v>9.8324540000000002</v>
      </c>
    </row>
    <row r="141" spans="1:25" ht="107.25" customHeight="1" thickBot="1" x14ac:dyDescent="0.25">
      <c r="A141" s="22">
        <f t="shared" si="30"/>
        <v>116</v>
      </c>
      <c r="B141" s="140" t="s">
        <v>453</v>
      </c>
      <c r="C141" s="24" t="s">
        <v>518</v>
      </c>
      <c r="D141" s="25">
        <v>8</v>
      </c>
      <c r="E141" s="31" t="s">
        <v>26</v>
      </c>
      <c r="F141" s="27">
        <v>14.104600000000001</v>
      </c>
      <c r="G141" s="27">
        <v>12.94</v>
      </c>
      <c r="H141" s="28">
        <f t="shared" si="29"/>
        <v>9.000000000000008E-2</v>
      </c>
      <c r="I141" s="25"/>
      <c r="K141" s="21">
        <v>2340</v>
      </c>
      <c r="L141" s="9"/>
      <c r="W141">
        <v>14.104600000000001</v>
      </c>
      <c r="X141">
        <v>1.06</v>
      </c>
      <c r="Y141">
        <f t="shared" si="28"/>
        <v>14.950876000000003</v>
      </c>
    </row>
    <row r="142" spans="1:25" ht="110.25" customHeight="1" thickBot="1" x14ac:dyDescent="0.25">
      <c r="A142" s="93">
        <f t="shared" si="30"/>
        <v>117</v>
      </c>
      <c r="B142" s="141" t="s">
        <v>452</v>
      </c>
      <c r="C142" s="57" t="s">
        <v>518</v>
      </c>
      <c r="D142" s="29">
        <v>20</v>
      </c>
      <c r="E142" s="59" t="s">
        <v>26</v>
      </c>
      <c r="F142" s="60">
        <v>20.819000000000003</v>
      </c>
      <c r="G142" s="60">
        <v>19.100000000000001</v>
      </c>
      <c r="H142" s="61">
        <f t="shared" si="29"/>
        <v>9.000000000000008E-2</v>
      </c>
      <c r="I142" s="25"/>
      <c r="K142" s="21">
        <v>2340</v>
      </c>
      <c r="L142" s="9">
        <v>23400197</v>
      </c>
      <c r="W142">
        <v>20.819000000000003</v>
      </c>
      <c r="X142">
        <v>1.06</v>
      </c>
      <c r="Y142">
        <f t="shared" si="28"/>
        <v>22.068140000000003</v>
      </c>
    </row>
    <row r="143" spans="1:25" ht="48" customHeight="1" thickBot="1" x14ac:dyDescent="0.25">
      <c r="A143" s="22">
        <f t="shared" si="30"/>
        <v>118</v>
      </c>
      <c r="B143" s="23" t="s">
        <v>157</v>
      </c>
      <c r="C143" s="24" t="s">
        <v>36</v>
      </c>
      <c r="D143" s="25" t="s">
        <v>23</v>
      </c>
      <c r="E143" s="31" t="s">
        <v>111</v>
      </c>
      <c r="F143" s="27">
        <v>1.98</v>
      </c>
      <c r="G143" s="27">
        <v>5.6</v>
      </c>
      <c r="H143" s="28">
        <f t="shared" si="29"/>
        <v>-0.64642857142857135</v>
      </c>
      <c r="I143" s="25"/>
      <c r="K143" s="21">
        <v>2340</v>
      </c>
      <c r="L143" s="9"/>
      <c r="W143">
        <v>1.98</v>
      </c>
      <c r="X143">
        <v>1.06</v>
      </c>
      <c r="Y143">
        <f t="shared" si="28"/>
        <v>2.0988000000000002</v>
      </c>
    </row>
    <row r="144" spans="1:25" ht="48" customHeight="1" thickBot="1" x14ac:dyDescent="0.25">
      <c r="A144" s="22">
        <f t="shared" si="30"/>
        <v>119</v>
      </c>
      <c r="B144" s="23" t="s">
        <v>158</v>
      </c>
      <c r="C144" s="24" t="s">
        <v>36</v>
      </c>
      <c r="D144" s="25" t="s">
        <v>23</v>
      </c>
      <c r="E144" s="31" t="s">
        <v>148</v>
      </c>
      <c r="F144" s="27">
        <v>0.53</v>
      </c>
      <c r="G144" s="27"/>
      <c r="H144" s="28"/>
      <c r="I144" s="25"/>
      <c r="K144" s="21">
        <v>2340</v>
      </c>
      <c r="L144" s="9"/>
      <c r="W144">
        <v>0.53</v>
      </c>
      <c r="X144">
        <v>1.06</v>
      </c>
      <c r="Y144">
        <f t="shared" si="28"/>
        <v>0.56180000000000008</v>
      </c>
    </row>
    <row r="145" spans="1:25" ht="48" customHeight="1" thickBot="1" x14ac:dyDescent="0.25">
      <c r="A145" s="22">
        <f t="shared" si="30"/>
        <v>120</v>
      </c>
      <c r="B145" s="23" t="s">
        <v>159</v>
      </c>
      <c r="C145" s="24" t="s">
        <v>36</v>
      </c>
      <c r="D145" s="25" t="s">
        <v>23</v>
      </c>
      <c r="E145" s="31" t="s">
        <v>111</v>
      </c>
      <c r="F145" s="27">
        <v>3.05</v>
      </c>
      <c r="G145" s="27">
        <v>5.6</v>
      </c>
      <c r="H145" s="28">
        <f>IFERROR(+(F145/G145)-1,"--")</f>
        <v>-0.4553571428571429</v>
      </c>
      <c r="I145" s="25"/>
      <c r="K145" s="21">
        <v>2340</v>
      </c>
      <c r="L145" s="9"/>
      <c r="W145">
        <v>3.05</v>
      </c>
      <c r="X145">
        <v>1.06</v>
      </c>
      <c r="Y145">
        <f t="shared" si="28"/>
        <v>3.2330000000000001</v>
      </c>
    </row>
    <row r="146" spans="1:25" ht="48" customHeight="1" thickBot="1" x14ac:dyDescent="0.25">
      <c r="A146" s="22">
        <f t="shared" si="30"/>
        <v>121</v>
      </c>
      <c r="B146" s="23" t="s">
        <v>160</v>
      </c>
      <c r="C146" s="24" t="s">
        <v>36</v>
      </c>
      <c r="D146" s="25" t="s">
        <v>23</v>
      </c>
      <c r="E146" s="31" t="s">
        <v>148</v>
      </c>
      <c r="F146" s="27">
        <v>0.8</v>
      </c>
      <c r="G146" s="27"/>
      <c r="H146" s="28"/>
      <c r="I146" s="25"/>
      <c r="K146" s="21">
        <v>2340</v>
      </c>
      <c r="L146" s="9"/>
      <c r="W146">
        <v>0.8</v>
      </c>
      <c r="X146">
        <v>1.06</v>
      </c>
      <c r="Y146">
        <f t="shared" si="28"/>
        <v>0.84800000000000009</v>
      </c>
    </row>
    <row r="147" spans="1:25" ht="48" customHeight="1" thickBot="1" x14ac:dyDescent="0.25">
      <c r="A147" s="22">
        <f t="shared" si="30"/>
        <v>122</v>
      </c>
      <c r="B147" s="23" t="s">
        <v>161</v>
      </c>
      <c r="C147" s="24" t="s">
        <v>36</v>
      </c>
      <c r="D147" s="25" t="s">
        <v>23</v>
      </c>
      <c r="E147" s="31" t="s">
        <v>111</v>
      </c>
      <c r="F147" s="27">
        <v>4.4000000000000004</v>
      </c>
      <c r="G147" s="27">
        <v>5.6</v>
      </c>
      <c r="H147" s="28">
        <f>IFERROR(+(F147/G147)-1,"--")</f>
        <v>-0.21428571428571419</v>
      </c>
      <c r="I147" s="25"/>
      <c r="K147" s="21">
        <v>2340</v>
      </c>
      <c r="L147" s="9">
        <v>23400312</v>
      </c>
      <c r="W147">
        <v>4.4000000000000004</v>
      </c>
      <c r="X147">
        <v>1.06</v>
      </c>
      <c r="Y147">
        <f t="shared" si="28"/>
        <v>4.6640000000000006</v>
      </c>
    </row>
    <row r="148" spans="1:25" ht="48" customHeight="1" thickBot="1" x14ac:dyDescent="0.25">
      <c r="A148" s="22">
        <f t="shared" si="30"/>
        <v>123</v>
      </c>
      <c r="B148" s="23" t="s">
        <v>162</v>
      </c>
      <c r="C148" s="24" t="s">
        <v>36</v>
      </c>
      <c r="D148" s="25" t="s">
        <v>23</v>
      </c>
      <c r="E148" s="31" t="s">
        <v>148</v>
      </c>
      <c r="F148" s="27">
        <v>1.18</v>
      </c>
      <c r="G148" s="27"/>
      <c r="H148" s="28"/>
      <c r="I148" s="25"/>
      <c r="K148" s="21">
        <v>2340</v>
      </c>
      <c r="L148" s="9">
        <v>23400313</v>
      </c>
      <c r="W148">
        <v>1.18</v>
      </c>
      <c r="X148">
        <v>1.06</v>
      </c>
      <c r="Y148">
        <f t="shared" si="28"/>
        <v>1.2507999999999999</v>
      </c>
    </row>
    <row r="149" spans="1:25" ht="24.75" customHeight="1" thickBot="1" x14ac:dyDescent="0.25">
      <c r="A149" s="10" t="s">
        <v>163</v>
      </c>
      <c r="B149" s="163" t="s">
        <v>164</v>
      </c>
      <c r="C149" s="164"/>
      <c r="D149" s="164"/>
      <c r="E149" s="164"/>
      <c r="F149" s="164"/>
      <c r="G149" s="164"/>
      <c r="H149" s="165"/>
      <c r="I149" s="25"/>
      <c r="K149" s="21">
        <v>2340</v>
      </c>
      <c r="L149" s="9"/>
      <c r="X149">
        <v>1.06</v>
      </c>
      <c r="Y149">
        <f t="shared" si="28"/>
        <v>0</v>
      </c>
    </row>
    <row r="150" spans="1:25" ht="110.25" customHeight="1" thickBot="1" x14ac:dyDescent="0.25">
      <c r="A150" s="93">
        <f>+A148+1</f>
        <v>124</v>
      </c>
      <c r="B150" s="56" t="s">
        <v>165</v>
      </c>
      <c r="C150" s="57" t="s">
        <v>518</v>
      </c>
      <c r="D150" s="29">
        <v>2</v>
      </c>
      <c r="E150" s="59" t="s">
        <v>26</v>
      </c>
      <c r="F150" s="60">
        <v>16.491700000000002</v>
      </c>
      <c r="G150" s="60">
        <v>15.13</v>
      </c>
      <c r="H150" s="61">
        <f t="shared" ref="H150:H153" si="31">IFERROR(+(F150/G150)-1,"--")</f>
        <v>9.000000000000008E-2</v>
      </c>
      <c r="I150" s="25">
        <v>23400198</v>
      </c>
      <c r="K150" s="21">
        <v>2340</v>
      </c>
      <c r="L150" s="9"/>
      <c r="W150">
        <v>16.491700000000002</v>
      </c>
      <c r="X150">
        <v>1.06</v>
      </c>
      <c r="Y150">
        <f t="shared" si="28"/>
        <v>17.481202000000003</v>
      </c>
    </row>
    <row r="151" spans="1:25" ht="110.25" customHeight="1" thickBot="1" x14ac:dyDescent="0.25">
      <c r="A151" s="93">
        <f t="shared" ref="A151:A158" si="32">1+A150</f>
        <v>125</v>
      </c>
      <c r="B151" s="56" t="s">
        <v>166</v>
      </c>
      <c r="C151" s="57" t="s">
        <v>518</v>
      </c>
      <c r="D151" s="29">
        <v>8</v>
      </c>
      <c r="E151" s="59" t="s">
        <v>26</v>
      </c>
      <c r="F151" s="60">
        <v>25.07</v>
      </c>
      <c r="G151" s="60">
        <v>23</v>
      </c>
      <c r="H151" s="61">
        <f t="shared" si="31"/>
        <v>9.000000000000008E-2</v>
      </c>
      <c r="I151" s="25"/>
      <c r="K151" s="21">
        <v>2340</v>
      </c>
      <c r="L151" s="9"/>
      <c r="W151">
        <v>25.07</v>
      </c>
      <c r="X151">
        <v>1.06</v>
      </c>
      <c r="Y151">
        <f t="shared" si="28"/>
        <v>26.574200000000001</v>
      </c>
    </row>
    <row r="152" spans="1:25" ht="110.25" customHeight="1" thickBot="1" x14ac:dyDescent="0.25">
      <c r="A152" s="93">
        <f t="shared" si="32"/>
        <v>126</v>
      </c>
      <c r="B152" s="56" t="s">
        <v>606</v>
      </c>
      <c r="C152" s="57" t="s">
        <v>518</v>
      </c>
      <c r="D152" s="29">
        <v>20</v>
      </c>
      <c r="E152" s="59" t="s">
        <v>26</v>
      </c>
      <c r="F152" s="60">
        <v>37.354300000000009</v>
      </c>
      <c r="G152" s="60">
        <v>34.270000000000003</v>
      </c>
      <c r="H152" s="61">
        <f t="shared" si="31"/>
        <v>9.000000000000008E-2</v>
      </c>
      <c r="I152" s="25"/>
      <c r="K152" s="21">
        <v>2340</v>
      </c>
      <c r="L152" s="9">
        <f>+K152*0.7</f>
        <v>1638</v>
      </c>
      <c r="W152">
        <v>37.354300000000009</v>
      </c>
      <c r="X152">
        <v>1.06</v>
      </c>
      <c r="Y152">
        <f t="shared" si="28"/>
        <v>39.595558000000011</v>
      </c>
    </row>
    <row r="153" spans="1:25" ht="43.5" customHeight="1" thickBot="1" x14ac:dyDescent="0.25">
      <c r="A153" s="93">
        <f t="shared" si="32"/>
        <v>127</v>
      </c>
      <c r="B153" s="23" t="s">
        <v>167</v>
      </c>
      <c r="C153" s="24" t="s">
        <v>36</v>
      </c>
      <c r="D153" s="25" t="s">
        <v>23</v>
      </c>
      <c r="E153" s="31" t="s">
        <v>111</v>
      </c>
      <c r="F153" s="27">
        <v>1.98</v>
      </c>
      <c r="G153" s="27">
        <v>5.6</v>
      </c>
      <c r="H153" s="28">
        <f t="shared" si="31"/>
        <v>-0.64642857142857135</v>
      </c>
      <c r="I153" s="25"/>
      <c r="K153" s="21">
        <v>2340</v>
      </c>
      <c r="L153" s="9"/>
      <c r="W153">
        <v>1.98</v>
      </c>
      <c r="X153">
        <v>1.06</v>
      </c>
      <c r="Y153">
        <f t="shared" si="28"/>
        <v>2.0988000000000002</v>
      </c>
    </row>
    <row r="154" spans="1:25" ht="43.5" customHeight="1" thickBot="1" x14ac:dyDescent="0.25">
      <c r="A154" s="93">
        <f t="shared" si="32"/>
        <v>128</v>
      </c>
      <c r="B154" s="23" t="s">
        <v>168</v>
      </c>
      <c r="C154" s="24" t="s">
        <v>36</v>
      </c>
      <c r="D154" s="25" t="s">
        <v>23</v>
      </c>
      <c r="E154" s="31" t="s">
        <v>148</v>
      </c>
      <c r="F154" s="27">
        <v>0.53</v>
      </c>
      <c r="G154" s="27"/>
      <c r="H154" s="28"/>
      <c r="I154" s="25"/>
      <c r="K154" s="21">
        <v>2340</v>
      </c>
      <c r="L154" s="9"/>
      <c r="W154">
        <v>0.53</v>
      </c>
      <c r="X154">
        <v>1.06</v>
      </c>
      <c r="Y154">
        <f t="shared" si="28"/>
        <v>0.56180000000000008</v>
      </c>
    </row>
    <row r="155" spans="1:25" ht="43.5" customHeight="1" thickBot="1" x14ac:dyDescent="0.25">
      <c r="A155" s="93">
        <f t="shared" si="32"/>
        <v>129</v>
      </c>
      <c r="B155" s="23" t="s">
        <v>169</v>
      </c>
      <c r="C155" s="24" t="s">
        <v>36</v>
      </c>
      <c r="D155" s="25" t="s">
        <v>23</v>
      </c>
      <c r="E155" s="31" t="s">
        <v>111</v>
      </c>
      <c r="F155" s="27">
        <v>3.05</v>
      </c>
      <c r="G155" s="27">
        <v>5.6</v>
      </c>
      <c r="H155" s="28">
        <f>IFERROR(+(F155/G155)-1,"--")</f>
        <v>-0.4553571428571429</v>
      </c>
      <c r="I155" s="25"/>
      <c r="K155" s="21">
        <v>2340</v>
      </c>
      <c r="L155" s="9"/>
      <c r="W155">
        <v>3.05</v>
      </c>
      <c r="X155">
        <v>1.06</v>
      </c>
      <c r="Y155">
        <f t="shared" si="28"/>
        <v>3.2330000000000001</v>
      </c>
    </row>
    <row r="156" spans="1:25" ht="43.5" customHeight="1" thickBot="1" x14ac:dyDescent="0.25">
      <c r="A156" s="93">
        <f t="shared" si="32"/>
        <v>130</v>
      </c>
      <c r="B156" s="23" t="s">
        <v>170</v>
      </c>
      <c r="C156" s="24" t="s">
        <v>36</v>
      </c>
      <c r="D156" s="25" t="s">
        <v>23</v>
      </c>
      <c r="E156" s="31" t="s">
        <v>148</v>
      </c>
      <c r="F156" s="27">
        <v>0.8</v>
      </c>
      <c r="G156" s="27"/>
      <c r="H156" s="28"/>
      <c r="I156" s="25"/>
      <c r="K156" s="21">
        <v>2340</v>
      </c>
      <c r="L156" s="9"/>
      <c r="W156">
        <v>0.8</v>
      </c>
      <c r="X156">
        <v>1.06</v>
      </c>
      <c r="Y156">
        <f t="shared" si="28"/>
        <v>0.84800000000000009</v>
      </c>
    </row>
    <row r="157" spans="1:25" ht="43.5" customHeight="1" thickBot="1" x14ac:dyDescent="0.25">
      <c r="A157" s="93">
        <f t="shared" si="32"/>
        <v>131</v>
      </c>
      <c r="B157" s="23" t="s">
        <v>171</v>
      </c>
      <c r="C157" s="24" t="s">
        <v>36</v>
      </c>
      <c r="D157" s="25" t="s">
        <v>23</v>
      </c>
      <c r="E157" s="31" t="s">
        <v>111</v>
      </c>
      <c r="F157" s="27">
        <v>4.8600000000000003</v>
      </c>
      <c r="G157" s="27">
        <v>5.6</v>
      </c>
      <c r="H157" s="28">
        <f>IFERROR(+(F157/G157)-1,"--")</f>
        <v>-0.13214285714285701</v>
      </c>
      <c r="I157" s="25"/>
      <c r="K157" s="21">
        <v>2340</v>
      </c>
      <c r="L157" s="9"/>
      <c r="W157">
        <v>4.8600000000000003</v>
      </c>
      <c r="X157">
        <v>1.06</v>
      </c>
      <c r="Y157">
        <f t="shared" si="28"/>
        <v>5.1516000000000002</v>
      </c>
    </row>
    <row r="158" spans="1:25" ht="43.5" customHeight="1" thickBot="1" x14ac:dyDescent="0.25">
      <c r="A158" s="93">
        <f t="shared" si="32"/>
        <v>132</v>
      </c>
      <c r="B158" s="23" t="s">
        <v>172</v>
      </c>
      <c r="C158" s="24" t="s">
        <v>36</v>
      </c>
      <c r="D158" s="25" t="s">
        <v>23</v>
      </c>
      <c r="E158" s="31" t="s">
        <v>148</v>
      </c>
      <c r="F158" s="27">
        <v>1.18</v>
      </c>
      <c r="G158" s="27"/>
      <c r="H158" s="28"/>
      <c r="I158" s="25"/>
      <c r="K158" s="21">
        <v>2340</v>
      </c>
      <c r="L158" s="9"/>
      <c r="W158">
        <v>1.18</v>
      </c>
      <c r="X158">
        <v>1.06</v>
      </c>
      <c r="Y158">
        <f t="shared" si="28"/>
        <v>1.2507999999999999</v>
      </c>
    </row>
    <row r="159" spans="1:25" ht="12" customHeight="1" thickBot="1" x14ac:dyDescent="0.25">
      <c r="A159" s="10" t="s">
        <v>173</v>
      </c>
      <c r="B159" s="163" t="s">
        <v>174</v>
      </c>
      <c r="C159" s="164"/>
      <c r="D159" s="164"/>
      <c r="E159" s="164"/>
      <c r="F159" s="164"/>
      <c r="G159" s="164"/>
      <c r="H159" s="165"/>
      <c r="I159" s="25"/>
      <c r="K159" s="21">
        <v>2340</v>
      </c>
      <c r="L159" s="9"/>
      <c r="X159">
        <v>1.06</v>
      </c>
      <c r="Y159">
        <f t="shared" si="28"/>
        <v>0</v>
      </c>
    </row>
    <row r="160" spans="1:25" ht="150" customHeight="1" thickBot="1" x14ac:dyDescent="0.25">
      <c r="A160" s="48">
        <f>+A158+1</f>
        <v>133</v>
      </c>
      <c r="B160" s="49" t="s">
        <v>175</v>
      </c>
      <c r="C160" s="50" t="s">
        <v>518</v>
      </c>
      <c r="D160" s="51">
        <v>2</v>
      </c>
      <c r="E160" s="52" t="s">
        <v>26</v>
      </c>
      <c r="F160" s="27">
        <v>11.128900000000002</v>
      </c>
      <c r="G160" s="27">
        <v>10.210000000000001</v>
      </c>
      <c r="H160" s="28">
        <f t="shared" ref="H160:H165" si="33">IFERROR(+(F160/G160)-1,"--")</f>
        <v>9.000000000000008E-2</v>
      </c>
      <c r="I160" s="25"/>
      <c r="K160" s="21">
        <v>2340</v>
      </c>
      <c r="L160" s="9"/>
      <c r="W160">
        <v>11.128900000000002</v>
      </c>
      <c r="X160">
        <v>1.06</v>
      </c>
      <c r="Y160">
        <f t="shared" si="28"/>
        <v>11.796634000000003</v>
      </c>
    </row>
    <row r="161" spans="1:25" ht="150" customHeight="1" thickBot="1" x14ac:dyDescent="0.25">
      <c r="A161" s="48">
        <f t="shared" ref="A161:A162" si="34">1+A160</f>
        <v>134</v>
      </c>
      <c r="B161" s="49" t="s">
        <v>176</v>
      </c>
      <c r="C161" s="50" t="s">
        <v>518</v>
      </c>
      <c r="D161" s="51">
        <v>8</v>
      </c>
      <c r="E161" s="52" t="s">
        <v>26</v>
      </c>
      <c r="F161" s="27">
        <v>16.927700000000002</v>
      </c>
      <c r="G161" s="27">
        <v>15.53</v>
      </c>
      <c r="H161" s="28">
        <f t="shared" si="33"/>
        <v>9.000000000000008E-2</v>
      </c>
      <c r="I161" s="25"/>
      <c r="K161" s="21">
        <v>2340</v>
      </c>
      <c r="L161" s="9"/>
      <c r="W161">
        <v>16.927700000000002</v>
      </c>
      <c r="X161">
        <v>1.06</v>
      </c>
      <c r="Y161">
        <f t="shared" si="28"/>
        <v>17.943362000000004</v>
      </c>
    </row>
    <row r="162" spans="1:25" ht="150" customHeight="1" thickBot="1" x14ac:dyDescent="0.25">
      <c r="A162" s="48">
        <f t="shared" si="34"/>
        <v>135</v>
      </c>
      <c r="B162" s="49" t="s">
        <v>177</v>
      </c>
      <c r="C162" s="50" t="s">
        <v>518</v>
      </c>
      <c r="D162" s="51">
        <v>20</v>
      </c>
      <c r="E162" s="52" t="s">
        <v>26</v>
      </c>
      <c r="F162" s="27">
        <v>24.982800000000005</v>
      </c>
      <c r="G162" s="27">
        <v>22.92</v>
      </c>
      <c r="H162" s="28">
        <f t="shared" si="33"/>
        <v>9.000000000000008E-2</v>
      </c>
      <c r="I162" s="25"/>
      <c r="K162" s="21">
        <v>2340</v>
      </c>
      <c r="L162" s="9"/>
      <c r="W162">
        <v>24.982800000000005</v>
      </c>
      <c r="X162">
        <v>1.06</v>
      </c>
      <c r="Y162">
        <f t="shared" si="28"/>
        <v>26.481768000000006</v>
      </c>
    </row>
    <row r="163" spans="1:25" ht="150" customHeight="1" thickBot="1" x14ac:dyDescent="0.25">
      <c r="A163" s="48">
        <f>+A162+1</f>
        <v>136</v>
      </c>
      <c r="B163" s="49" t="s">
        <v>178</v>
      </c>
      <c r="C163" s="50" t="s">
        <v>518</v>
      </c>
      <c r="D163" s="51">
        <v>2</v>
      </c>
      <c r="E163" s="52" t="s">
        <v>26</v>
      </c>
      <c r="F163" s="27">
        <v>19.794400000000003</v>
      </c>
      <c r="G163" s="27">
        <v>18.16</v>
      </c>
      <c r="H163" s="28">
        <f t="shared" si="33"/>
        <v>9.000000000000008E-2</v>
      </c>
      <c r="I163" s="25"/>
      <c r="K163" s="21">
        <v>2340</v>
      </c>
      <c r="L163" s="9"/>
      <c r="W163">
        <v>19.794400000000003</v>
      </c>
      <c r="X163">
        <v>1.06</v>
      </c>
      <c r="Y163">
        <f t="shared" si="28"/>
        <v>20.982064000000005</v>
      </c>
    </row>
    <row r="164" spans="1:25" ht="150" customHeight="1" thickBot="1" x14ac:dyDescent="0.25">
      <c r="A164" s="48">
        <f t="shared" ref="A164:A171" si="35">1+A163</f>
        <v>137</v>
      </c>
      <c r="B164" s="49" t="s">
        <v>179</v>
      </c>
      <c r="C164" s="50" t="s">
        <v>518</v>
      </c>
      <c r="D164" s="51">
        <v>8</v>
      </c>
      <c r="E164" s="52" t="s">
        <v>26</v>
      </c>
      <c r="F164" s="27">
        <v>30.084000000000003</v>
      </c>
      <c r="G164" s="27">
        <v>27.6</v>
      </c>
      <c r="H164" s="28">
        <f t="shared" si="33"/>
        <v>9.000000000000008E-2</v>
      </c>
      <c r="I164" s="25"/>
      <c r="K164" s="21">
        <v>2340</v>
      </c>
      <c r="L164" s="9"/>
      <c r="W164">
        <v>30.084000000000003</v>
      </c>
      <c r="X164">
        <v>1.06</v>
      </c>
      <c r="Y164">
        <f t="shared" si="28"/>
        <v>31.889040000000005</v>
      </c>
    </row>
    <row r="165" spans="1:25" ht="150" customHeight="1" thickBot="1" x14ac:dyDescent="0.25">
      <c r="A165" s="48">
        <f t="shared" si="35"/>
        <v>138</v>
      </c>
      <c r="B165" s="49" t="s">
        <v>180</v>
      </c>
      <c r="C165" s="50" t="s">
        <v>518</v>
      </c>
      <c r="D165" s="51">
        <v>20</v>
      </c>
      <c r="E165" s="52" t="s">
        <v>26</v>
      </c>
      <c r="F165" s="27">
        <v>44.820799999999998</v>
      </c>
      <c r="G165" s="27">
        <v>41.12</v>
      </c>
      <c r="H165" s="28">
        <f t="shared" si="33"/>
        <v>9.000000000000008E-2</v>
      </c>
      <c r="I165" s="25"/>
      <c r="K165" s="21">
        <v>2340</v>
      </c>
      <c r="L165" s="9"/>
      <c r="W165">
        <v>44.820799999999998</v>
      </c>
      <c r="X165">
        <v>1.06</v>
      </c>
      <c r="Y165">
        <f t="shared" si="28"/>
        <v>47.510047999999998</v>
      </c>
    </row>
    <row r="166" spans="1:25" ht="43.5" customHeight="1" thickBot="1" x14ac:dyDescent="0.25">
      <c r="A166" s="48">
        <f t="shared" si="35"/>
        <v>139</v>
      </c>
      <c r="B166" s="23" t="s">
        <v>181</v>
      </c>
      <c r="C166" s="24" t="s">
        <v>36</v>
      </c>
      <c r="D166" s="25" t="s">
        <v>23</v>
      </c>
      <c r="E166" s="31" t="s">
        <v>111</v>
      </c>
      <c r="F166" s="27">
        <v>1.98</v>
      </c>
      <c r="G166" s="27"/>
      <c r="H166" s="28"/>
      <c r="I166" s="25"/>
      <c r="K166" s="21">
        <v>2340</v>
      </c>
      <c r="L166" s="9"/>
      <c r="W166">
        <v>1.98</v>
      </c>
      <c r="X166">
        <v>1.06</v>
      </c>
      <c r="Y166">
        <f t="shared" si="28"/>
        <v>2.0988000000000002</v>
      </c>
    </row>
    <row r="167" spans="1:25" ht="43.5" customHeight="1" thickBot="1" x14ac:dyDescent="0.25">
      <c r="A167" s="48">
        <f t="shared" si="35"/>
        <v>140</v>
      </c>
      <c r="B167" s="23" t="s">
        <v>182</v>
      </c>
      <c r="C167" s="24" t="s">
        <v>36</v>
      </c>
      <c r="D167" s="25" t="s">
        <v>23</v>
      </c>
      <c r="E167" s="31" t="s">
        <v>148</v>
      </c>
      <c r="F167" s="27">
        <v>0.53</v>
      </c>
      <c r="G167" s="27"/>
      <c r="H167" s="28"/>
      <c r="I167" s="25"/>
      <c r="K167" s="21">
        <v>2340</v>
      </c>
      <c r="L167" s="9"/>
      <c r="W167">
        <v>0.53</v>
      </c>
      <c r="X167">
        <v>1.06</v>
      </c>
      <c r="Y167">
        <f t="shared" si="28"/>
        <v>0.56180000000000008</v>
      </c>
    </row>
    <row r="168" spans="1:25" ht="43.5" customHeight="1" thickBot="1" x14ac:dyDescent="0.25">
      <c r="A168" s="48">
        <f t="shared" si="35"/>
        <v>141</v>
      </c>
      <c r="B168" s="23" t="s">
        <v>183</v>
      </c>
      <c r="C168" s="24" t="s">
        <v>36</v>
      </c>
      <c r="D168" s="25" t="s">
        <v>23</v>
      </c>
      <c r="E168" s="31" t="s">
        <v>111</v>
      </c>
      <c r="F168" s="27">
        <v>3.05</v>
      </c>
      <c r="G168" s="27"/>
      <c r="H168" s="28"/>
      <c r="I168" s="25"/>
      <c r="K168" s="21">
        <v>2340</v>
      </c>
      <c r="L168" s="9"/>
      <c r="W168">
        <v>3.05</v>
      </c>
      <c r="X168">
        <v>1.06</v>
      </c>
      <c r="Y168">
        <f t="shared" si="28"/>
        <v>3.2330000000000001</v>
      </c>
    </row>
    <row r="169" spans="1:25" ht="43.5" customHeight="1" thickBot="1" x14ac:dyDescent="0.25">
      <c r="A169" s="48">
        <f t="shared" si="35"/>
        <v>142</v>
      </c>
      <c r="B169" s="23" t="s">
        <v>184</v>
      </c>
      <c r="C169" s="24" t="s">
        <v>36</v>
      </c>
      <c r="D169" s="25" t="s">
        <v>23</v>
      </c>
      <c r="E169" s="31" t="s">
        <v>148</v>
      </c>
      <c r="F169" s="27">
        <v>0.8</v>
      </c>
      <c r="G169" s="27"/>
      <c r="H169" s="28"/>
      <c r="I169" s="25"/>
      <c r="K169" s="21">
        <v>2340</v>
      </c>
      <c r="L169" s="9"/>
      <c r="W169">
        <v>0.8</v>
      </c>
      <c r="X169">
        <v>1.06</v>
      </c>
      <c r="Y169">
        <f t="shared" si="28"/>
        <v>0.84800000000000009</v>
      </c>
    </row>
    <row r="170" spans="1:25" ht="43.5" customHeight="1" thickBot="1" x14ac:dyDescent="0.25">
      <c r="A170" s="48">
        <f t="shared" si="35"/>
        <v>143</v>
      </c>
      <c r="B170" s="23" t="s">
        <v>185</v>
      </c>
      <c r="C170" s="24" t="s">
        <v>36</v>
      </c>
      <c r="D170" s="25" t="s">
        <v>23</v>
      </c>
      <c r="E170" s="31" t="s">
        <v>111</v>
      </c>
      <c r="F170" s="27">
        <v>4.4000000000000004</v>
      </c>
      <c r="G170" s="27"/>
      <c r="H170" s="28"/>
      <c r="I170" s="25"/>
      <c r="K170" s="21">
        <v>2340</v>
      </c>
      <c r="L170" s="9"/>
      <c r="W170">
        <v>4.4000000000000004</v>
      </c>
      <c r="X170">
        <v>1.06</v>
      </c>
      <c r="Y170">
        <f t="shared" si="28"/>
        <v>4.6640000000000006</v>
      </c>
    </row>
    <row r="171" spans="1:25" ht="43.5" customHeight="1" thickBot="1" x14ac:dyDescent="0.25">
      <c r="A171" s="48">
        <f t="shared" si="35"/>
        <v>144</v>
      </c>
      <c r="B171" s="23" t="s">
        <v>186</v>
      </c>
      <c r="C171" s="24" t="s">
        <v>36</v>
      </c>
      <c r="D171" s="25" t="s">
        <v>23</v>
      </c>
      <c r="E171" s="31" t="s">
        <v>148</v>
      </c>
      <c r="F171" s="27">
        <v>1.18</v>
      </c>
      <c r="G171" s="27"/>
      <c r="H171" s="28"/>
      <c r="I171" s="25"/>
      <c r="K171" s="21">
        <v>2340</v>
      </c>
      <c r="L171" s="9"/>
      <c r="W171">
        <v>1.18</v>
      </c>
      <c r="X171">
        <v>1.06</v>
      </c>
      <c r="Y171">
        <f t="shared" si="28"/>
        <v>1.2507999999999999</v>
      </c>
    </row>
    <row r="172" spans="1:25" ht="25.5" customHeight="1" thickBot="1" x14ac:dyDescent="0.25">
      <c r="A172" s="94" t="s">
        <v>187</v>
      </c>
      <c r="B172" s="170" t="s">
        <v>188</v>
      </c>
      <c r="C172" s="164"/>
      <c r="D172" s="164"/>
      <c r="E172" s="164"/>
      <c r="F172" s="164"/>
      <c r="G172" s="164"/>
      <c r="H172" s="165"/>
      <c r="I172" s="25"/>
      <c r="K172" s="21">
        <v>2340</v>
      </c>
      <c r="L172" s="9"/>
      <c r="X172">
        <v>1.06</v>
      </c>
      <c r="Y172">
        <f t="shared" si="28"/>
        <v>0</v>
      </c>
    </row>
    <row r="173" spans="1:25" ht="47.1" customHeight="1" thickBot="1" x14ac:dyDescent="0.25">
      <c r="A173" s="95">
        <f>+A171+1</f>
        <v>145</v>
      </c>
      <c r="B173" s="96" t="s">
        <v>189</v>
      </c>
      <c r="C173" s="37" t="s">
        <v>23</v>
      </c>
      <c r="D173" s="97">
        <v>1</v>
      </c>
      <c r="E173" s="98" t="s">
        <v>190</v>
      </c>
      <c r="F173" s="40">
        <v>1.0682</v>
      </c>
      <c r="G173" s="40">
        <v>0.98</v>
      </c>
      <c r="H173" s="41">
        <f t="shared" ref="H173:H184" si="36">IFERROR(+(F173/G173)-1,"--")</f>
        <v>9.000000000000008E-2</v>
      </c>
      <c r="I173" s="25"/>
      <c r="K173" s="21">
        <v>2340</v>
      </c>
      <c r="L173" s="9"/>
      <c r="W173">
        <v>1.0682</v>
      </c>
      <c r="X173">
        <v>1.06</v>
      </c>
      <c r="Y173">
        <f t="shared" si="28"/>
        <v>1.1322920000000001</v>
      </c>
    </row>
    <row r="174" spans="1:25" ht="47.1" customHeight="1" thickBot="1" x14ac:dyDescent="0.25">
      <c r="A174" s="95">
        <f t="shared" ref="A174:A184" si="37">+A173+1</f>
        <v>146</v>
      </c>
      <c r="B174" s="96" t="s">
        <v>191</v>
      </c>
      <c r="C174" s="37" t="s">
        <v>23</v>
      </c>
      <c r="D174" s="97">
        <v>1</v>
      </c>
      <c r="E174" s="98" t="s">
        <v>190</v>
      </c>
      <c r="F174" s="40">
        <v>1.4260470000000001</v>
      </c>
      <c r="G174" s="40">
        <v>1.3083</v>
      </c>
      <c r="H174" s="41">
        <f t="shared" si="36"/>
        <v>9.000000000000008E-2</v>
      </c>
      <c r="I174" s="25"/>
      <c r="K174" s="21">
        <v>2340</v>
      </c>
      <c r="L174" s="9"/>
      <c r="W174">
        <v>1.4260470000000001</v>
      </c>
      <c r="X174">
        <v>1.06</v>
      </c>
      <c r="Y174">
        <f t="shared" si="28"/>
        <v>1.5116098200000001</v>
      </c>
    </row>
    <row r="175" spans="1:25" ht="47.1" customHeight="1" thickBot="1" x14ac:dyDescent="0.25">
      <c r="A175" s="95">
        <f t="shared" si="37"/>
        <v>147</v>
      </c>
      <c r="B175" s="96" t="s">
        <v>192</v>
      </c>
      <c r="C175" s="37" t="s">
        <v>23</v>
      </c>
      <c r="D175" s="97">
        <v>1</v>
      </c>
      <c r="E175" s="98" t="s">
        <v>190</v>
      </c>
      <c r="F175" s="40">
        <v>1.6241000000000001</v>
      </c>
      <c r="G175" s="40">
        <v>1.49</v>
      </c>
      <c r="H175" s="41">
        <f t="shared" si="36"/>
        <v>9.000000000000008E-2</v>
      </c>
      <c r="I175" s="25"/>
      <c r="K175" s="21">
        <v>2340</v>
      </c>
      <c r="L175" s="9"/>
      <c r="W175">
        <v>1.6241000000000001</v>
      </c>
      <c r="X175">
        <v>1.06</v>
      </c>
      <c r="Y175">
        <f t="shared" si="28"/>
        <v>1.7215460000000002</v>
      </c>
    </row>
    <row r="176" spans="1:25" ht="47.1" customHeight="1" thickBot="1" x14ac:dyDescent="0.25">
      <c r="A176" s="95">
        <f t="shared" si="37"/>
        <v>148</v>
      </c>
      <c r="B176" s="96" t="s">
        <v>193</v>
      </c>
      <c r="C176" s="37" t="s">
        <v>23</v>
      </c>
      <c r="D176" s="97">
        <v>1</v>
      </c>
      <c r="E176" s="98" t="s">
        <v>190</v>
      </c>
      <c r="F176" s="40">
        <v>2.1681735</v>
      </c>
      <c r="G176" s="40">
        <v>1.98915</v>
      </c>
      <c r="H176" s="41">
        <f t="shared" si="36"/>
        <v>9.000000000000008E-2</v>
      </c>
      <c r="I176" s="25"/>
      <c r="K176" s="21">
        <v>2340</v>
      </c>
      <c r="L176" s="9"/>
      <c r="W176">
        <v>2.1681735</v>
      </c>
      <c r="X176">
        <v>1.06</v>
      </c>
      <c r="Y176">
        <f t="shared" si="28"/>
        <v>2.2982639100000002</v>
      </c>
    </row>
    <row r="177" spans="1:25" ht="47.1" customHeight="1" thickBot="1" x14ac:dyDescent="0.25">
      <c r="A177" s="95">
        <f t="shared" si="37"/>
        <v>149</v>
      </c>
      <c r="B177" s="96" t="s">
        <v>194</v>
      </c>
      <c r="C177" s="37" t="s">
        <v>23</v>
      </c>
      <c r="D177" s="97">
        <v>1</v>
      </c>
      <c r="E177" s="98" t="s">
        <v>190</v>
      </c>
      <c r="F177" s="40">
        <v>2.3980000000000006</v>
      </c>
      <c r="G177" s="40">
        <v>2.2000000000000002</v>
      </c>
      <c r="H177" s="41">
        <f t="shared" si="36"/>
        <v>9.000000000000008E-2</v>
      </c>
      <c r="I177" s="25"/>
      <c r="K177" s="21">
        <v>2340</v>
      </c>
      <c r="L177" s="9"/>
      <c r="W177">
        <v>2.3980000000000006</v>
      </c>
      <c r="X177">
        <v>1.06</v>
      </c>
      <c r="Y177">
        <f t="shared" si="28"/>
        <v>2.5418800000000008</v>
      </c>
    </row>
    <row r="178" spans="1:25" ht="47.1" customHeight="1" thickBot="1" x14ac:dyDescent="0.25">
      <c r="A178" s="95">
        <f t="shared" si="37"/>
        <v>150</v>
      </c>
      <c r="B178" s="96" t="s">
        <v>195</v>
      </c>
      <c r="C178" s="37" t="s">
        <v>23</v>
      </c>
      <c r="D178" s="97">
        <v>1</v>
      </c>
      <c r="E178" s="98" t="s">
        <v>190</v>
      </c>
      <c r="F178" s="40">
        <v>3.2046000000000001</v>
      </c>
      <c r="G178" s="40">
        <v>2.94</v>
      </c>
      <c r="H178" s="41">
        <f t="shared" si="36"/>
        <v>9.000000000000008E-2</v>
      </c>
      <c r="I178" s="25"/>
      <c r="K178" s="21">
        <v>2340</v>
      </c>
      <c r="L178" s="9"/>
      <c r="W178">
        <v>3.2046000000000001</v>
      </c>
      <c r="X178">
        <v>1.06</v>
      </c>
      <c r="Y178">
        <f t="shared" si="28"/>
        <v>3.3968760000000002</v>
      </c>
    </row>
    <row r="179" spans="1:25" ht="47.1" customHeight="1" thickBot="1" x14ac:dyDescent="0.25">
      <c r="A179" s="95">
        <f t="shared" si="37"/>
        <v>151</v>
      </c>
      <c r="B179" s="96" t="s">
        <v>196</v>
      </c>
      <c r="C179" s="37" t="s">
        <v>23</v>
      </c>
      <c r="D179" s="97">
        <v>1</v>
      </c>
      <c r="E179" s="98" t="s">
        <v>190</v>
      </c>
      <c r="F179" s="40">
        <v>1.8857000000000002</v>
      </c>
      <c r="G179" s="40">
        <v>1.73</v>
      </c>
      <c r="H179" s="41">
        <f t="shared" si="36"/>
        <v>9.000000000000008E-2</v>
      </c>
      <c r="I179" s="25"/>
      <c r="K179" s="21">
        <v>2340</v>
      </c>
      <c r="L179" s="9"/>
      <c r="W179">
        <v>1.8857000000000002</v>
      </c>
      <c r="X179">
        <v>1.06</v>
      </c>
      <c r="Y179">
        <f t="shared" si="28"/>
        <v>1.9988420000000002</v>
      </c>
    </row>
    <row r="180" spans="1:25" ht="47.1" customHeight="1" thickBot="1" x14ac:dyDescent="0.25">
      <c r="A180" s="95">
        <f t="shared" si="37"/>
        <v>152</v>
      </c>
      <c r="B180" s="96" t="s">
        <v>197</v>
      </c>
      <c r="C180" s="37" t="s">
        <v>23</v>
      </c>
      <c r="D180" s="97">
        <v>1</v>
      </c>
      <c r="E180" s="98" t="s">
        <v>190</v>
      </c>
      <c r="F180" s="40">
        <v>2.5179</v>
      </c>
      <c r="G180" s="40">
        <v>2.31</v>
      </c>
      <c r="H180" s="41">
        <f t="shared" si="36"/>
        <v>9.000000000000008E-2</v>
      </c>
      <c r="I180" s="25"/>
      <c r="K180" s="21">
        <v>2340</v>
      </c>
      <c r="L180" s="9"/>
      <c r="W180">
        <v>2.5179</v>
      </c>
      <c r="X180">
        <v>1.06</v>
      </c>
      <c r="Y180">
        <f t="shared" si="28"/>
        <v>2.668974</v>
      </c>
    </row>
    <row r="181" spans="1:25" ht="47.1" customHeight="1" thickBot="1" x14ac:dyDescent="0.25">
      <c r="A181" s="95">
        <f t="shared" si="37"/>
        <v>153</v>
      </c>
      <c r="B181" s="96" t="s">
        <v>198</v>
      </c>
      <c r="C181" s="37" t="s">
        <v>23</v>
      </c>
      <c r="D181" s="97">
        <v>1</v>
      </c>
      <c r="E181" s="98" t="s">
        <v>190</v>
      </c>
      <c r="F181" s="40">
        <v>2.8776000000000002</v>
      </c>
      <c r="G181" s="40">
        <v>2.64</v>
      </c>
      <c r="H181" s="41">
        <f t="shared" si="36"/>
        <v>9.000000000000008E-2</v>
      </c>
      <c r="I181" s="25"/>
      <c r="K181" s="21">
        <v>2340</v>
      </c>
      <c r="L181" s="9"/>
      <c r="W181">
        <v>2.8776000000000002</v>
      </c>
      <c r="X181">
        <v>1.06</v>
      </c>
      <c r="Y181">
        <f t="shared" si="28"/>
        <v>3.0502560000000005</v>
      </c>
    </row>
    <row r="182" spans="1:25" ht="47.1" customHeight="1" thickBot="1" x14ac:dyDescent="0.25">
      <c r="A182" s="95">
        <f t="shared" si="37"/>
        <v>154</v>
      </c>
      <c r="B182" s="96" t="s">
        <v>199</v>
      </c>
      <c r="C182" s="37" t="s">
        <v>23</v>
      </c>
      <c r="D182" s="97">
        <v>1</v>
      </c>
      <c r="E182" s="98" t="s">
        <v>190</v>
      </c>
      <c r="F182" s="40">
        <v>3.8415960000000005</v>
      </c>
      <c r="G182" s="40">
        <v>3.5244</v>
      </c>
      <c r="H182" s="41">
        <f t="shared" si="36"/>
        <v>9.000000000000008E-2</v>
      </c>
      <c r="I182" s="25"/>
      <c r="K182" s="21">
        <v>2340</v>
      </c>
      <c r="L182" s="9"/>
      <c r="W182">
        <v>3.8415960000000005</v>
      </c>
      <c r="X182">
        <v>1.06</v>
      </c>
      <c r="Y182">
        <f t="shared" si="28"/>
        <v>4.0720917600000011</v>
      </c>
    </row>
    <row r="183" spans="1:25" ht="47.1" customHeight="1" thickBot="1" x14ac:dyDescent="0.25">
      <c r="A183" s="95">
        <f t="shared" si="37"/>
        <v>155</v>
      </c>
      <c r="B183" s="96" t="s">
        <v>200</v>
      </c>
      <c r="C183" s="37" t="s">
        <v>23</v>
      </c>
      <c r="D183" s="97">
        <v>1</v>
      </c>
      <c r="E183" s="98" t="s">
        <v>190</v>
      </c>
      <c r="F183" s="40">
        <v>4.2401000000000009</v>
      </c>
      <c r="G183" s="40">
        <v>3.89</v>
      </c>
      <c r="H183" s="41">
        <f t="shared" si="36"/>
        <v>9.000000000000008E-2</v>
      </c>
      <c r="I183" s="25"/>
      <c r="K183" s="21">
        <v>2340</v>
      </c>
      <c r="L183" s="9"/>
      <c r="W183">
        <v>4.2401000000000009</v>
      </c>
      <c r="X183">
        <v>1.06</v>
      </c>
      <c r="Y183">
        <f t="shared" si="28"/>
        <v>4.4945060000000012</v>
      </c>
    </row>
    <row r="184" spans="1:25" ht="47.1" customHeight="1" thickBot="1" x14ac:dyDescent="0.25">
      <c r="A184" s="95">
        <f t="shared" si="37"/>
        <v>156</v>
      </c>
      <c r="B184" s="96" t="s">
        <v>201</v>
      </c>
      <c r="C184" s="37" t="s">
        <v>23</v>
      </c>
      <c r="D184" s="97">
        <v>1</v>
      </c>
      <c r="E184" s="98" t="s">
        <v>190</v>
      </c>
      <c r="F184" s="40">
        <v>5.6605335000000006</v>
      </c>
      <c r="G184" s="40">
        <v>5.1931500000000002</v>
      </c>
      <c r="H184" s="41">
        <f t="shared" si="36"/>
        <v>9.000000000000008E-2</v>
      </c>
      <c r="I184" s="25"/>
      <c r="K184" s="21">
        <v>2340</v>
      </c>
      <c r="L184" s="9"/>
      <c r="W184">
        <v>5.6605335000000006</v>
      </c>
      <c r="X184">
        <v>1.06</v>
      </c>
      <c r="Y184">
        <f t="shared" si="28"/>
        <v>6.0001655100000013</v>
      </c>
    </row>
    <row r="185" spans="1:25" ht="18.75" customHeight="1" thickBot="1" x14ac:dyDescent="0.25">
      <c r="A185" s="10" t="s">
        <v>202</v>
      </c>
      <c r="B185" s="163" t="s">
        <v>203</v>
      </c>
      <c r="C185" s="164"/>
      <c r="D185" s="164"/>
      <c r="E185" s="164"/>
      <c r="F185" s="164"/>
      <c r="G185" s="164"/>
      <c r="H185" s="165"/>
      <c r="I185" s="25"/>
      <c r="K185" s="21">
        <v>2340</v>
      </c>
      <c r="L185" s="9"/>
      <c r="X185">
        <v>1.06</v>
      </c>
      <c r="Y185">
        <f t="shared" si="28"/>
        <v>0</v>
      </c>
    </row>
    <row r="186" spans="1:25" ht="120.75" customHeight="1" thickBot="1" x14ac:dyDescent="0.25">
      <c r="A186" s="48">
        <f>+A184+1</f>
        <v>157</v>
      </c>
      <c r="B186" s="49" t="s">
        <v>582</v>
      </c>
      <c r="C186" s="50" t="s">
        <v>519</v>
      </c>
      <c r="D186" s="51">
        <v>2</v>
      </c>
      <c r="E186" s="52" t="s">
        <v>26</v>
      </c>
      <c r="F186" s="53">
        <v>13.494200000000001</v>
      </c>
      <c r="G186" s="53">
        <v>12.38</v>
      </c>
      <c r="H186" s="54">
        <f t="shared" ref="H186:H191" si="38">IFERROR(+(F186/G186)-1,"--")</f>
        <v>9.000000000000008E-2</v>
      </c>
      <c r="I186" s="25"/>
      <c r="K186" s="21">
        <v>2340</v>
      </c>
      <c r="L186" s="9"/>
      <c r="W186">
        <v>13.494200000000001</v>
      </c>
      <c r="X186">
        <v>1.06</v>
      </c>
      <c r="Y186">
        <f t="shared" si="28"/>
        <v>14.303852000000003</v>
      </c>
    </row>
    <row r="187" spans="1:25" ht="110.25" customHeight="1" thickBot="1" x14ac:dyDescent="0.25">
      <c r="A187" s="76">
        <f t="shared" ref="A187:A197" si="39">1+A186</f>
        <v>158</v>
      </c>
      <c r="B187" s="86" t="s">
        <v>204</v>
      </c>
      <c r="C187" s="65" t="s">
        <v>519</v>
      </c>
      <c r="D187" s="66">
        <v>2</v>
      </c>
      <c r="E187" s="67" t="s">
        <v>26</v>
      </c>
      <c r="F187" s="68">
        <v>24.121700000000001</v>
      </c>
      <c r="G187" s="68">
        <v>22.13</v>
      </c>
      <c r="H187" s="69">
        <f t="shared" si="38"/>
        <v>9.000000000000008E-2</v>
      </c>
      <c r="I187" s="25"/>
      <c r="K187" s="21">
        <v>2340</v>
      </c>
      <c r="L187" s="9"/>
      <c r="W187">
        <v>24.121700000000001</v>
      </c>
      <c r="X187">
        <v>1.06</v>
      </c>
      <c r="Y187">
        <f t="shared" si="28"/>
        <v>25.569002000000001</v>
      </c>
    </row>
    <row r="188" spans="1:25" ht="110.25" customHeight="1" thickBot="1" x14ac:dyDescent="0.25">
      <c r="A188" s="76">
        <f t="shared" si="39"/>
        <v>159</v>
      </c>
      <c r="B188" s="71" t="s">
        <v>205</v>
      </c>
      <c r="C188" s="65" t="s">
        <v>519</v>
      </c>
      <c r="D188" s="66">
        <v>2</v>
      </c>
      <c r="E188" s="67" t="s">
        <v>26</v>
      </c>
      <c r="F188" s="68">
        <v>19.947000000000003</v>
      </c>
      <c r="G188" s="68">
        <v>18.3</v>
      </c>
      <c r="H188" s="69">
        <f t="shared" si="38"/>
        <v>9.000000000000008E-2</v>
      </c>
      <c r="I188" s="25"/>
      <c r="K188" s="21">
        <v>2340</v>
      </c>
      <c r="L188" s="9"/>
      <c r="W188">
        <v>19.947000000000003</v>
      </c>
      <c r="X188">
        <v>1.06</v>
      </c>
      <c r="Y188">
        <f t="shared" si="28"/>
        <v>21.143820000000005</v>
      </c>
    </row>
    <row r="189" spans="1:25" ht="110.25" customHeight="1" thickBot="1" x14ac:dyDescent="0.25">
      <c r="A189" s="76">
        <f t="shared" si="39"/>
        <v>160</v>
      </c>
      <c r="B189" s="86" t="s">
        <v>206</v>
      </c>
      <c r="C189" s="65" t="s">
        <v>519</v>
      </c>
      <c r="D189" s="66">
        <v>2</v>
      </c>
      <c r="E189" s="67" t="s">
        <v>26</v>
      </c>
      <c r="F189" s="68">
        <v>35.305100000000003</v>
      </c>
      <c r="G189" s="68">
        <v>32.39</v>
      </c>
      <c r="H189" s="69">
        <f t="shared" si="38"/>
        <v>9.000000000000008E-2</v>
      </c>
      <c r="I189" s="25"/>
      <c r="K189" s="21">
        <v>2340</v>
      </c>
      <c r="L189" s="9"/>
      <c r="W189">
        <v>35.305100000000003</v>
      </c>
      <c r="X189">
        <v>1.06</v>
      </c>
      <c r="Y189">
        <f t="shared" si="28"/>
        <v>37.423406000000007</v>
      </c>
    </row>
    <row r="190" spans="1:25" ht="109.5" customHeight="1" thickBot="1" x14ac:dyDescent="0.25">
      <c r="A190" s="76">
        <f t="shared" si="39"/>
        <v>161</v>
      </c>
      <c r="B190" s="71" t="s">
        <v>207</v>
      </c>
      <c r="C190" s="65" t="s">
        <v>519</v>
      </c>
      <c r="D190" s="66">
        <v>2</v>
      </c>
      <c r="E190" s="67" t="s">
        <v>26</v>
      </c>
      <c r="F190" s="68">
        <v>18.192100000000003</v>
      </c>
      <c r="G190" s="68">
        <v>16.690000000000001</v>
      </c>
      <c r="H190" s="69">
        <f t="shared" si="38"/>
        <v>9.000000000000008E-2</v>
      </c>
      <c r="I190" s="25"/>
      <c r="K190" s="21">
        <v>2340</v>
      </c>
      <c r="L190" s="9"/>
      <c r="W190">
        <v>18.192100000000003</v>
      </c>
      <c r="X190">
        <v>1.06</v>
      </c>
      <c r="Y190">
        <f t="shared" si="28"/>
        <v>19.283626000000005</v>
      </c>
    </row>
    <row r="191" spans="1:25" ht="111" customHeight="1" thickBot="1" x14ac:dyDescent="0.25">
      <c r="A191" s="76">
        <f t="shared" si="39"/>
        <v>162</v>
      </c>
      <c r="B191" s="99" t="s">
        <v>208</v>
      </c>
      <c r="C191" s="65" t="s">
        <v>519</v>
      </c>
      <c r="D191" s="66">
        <v>2</v>
      </c>
      <c r="E191" s="67" t="s">
        <v>26</v>
      </c>
      <c r="F191" s="68">
        <v>27.010200000000005</v>
      </c>
      <c r="G191" s="68">
        <v>24.78</v>
      </c>
      <c r="H191" s="69">
        <f t="shared" si="38"/>
        <v>9.000000000000008E-2</v>
      </c>
      <c r="I191" s="25"/>
      <c r="K191" s="21">
        <v>2340</v>
      </c>
      <c r="L191" s="9"/>
      <c r="W191">
        <v>27.010200000000005</v>
      </c>
      <c r="X191">
        <v>1.06</v>
      </c>
      <c r="Y191">
        <f t="shared" si="28"/>
        <v>28.630812000000006</v>
      </c>
    </row>
    <row r="192" spans="1:25" ht="43.5" customHeight="1" thickBot="1" x14ac:dyDescent="0.25">
      <c r="A192" s="76">
        <f t="shared" si="39"/>
        <v>163</v>
      </c>
      <c r="B192" s="23" t="s">
        <v>209</v>
      </c>
      <c r="C192" s="24" t="s">
        <v>36</v>
      </c>
      <c r="D192" s="25" t="s">
        <v>23</v>
      </c>
      <c r="E192" s="31" t="s">
        <v>111</v>
      </c>
      <c r="F192" s="100">
        <v>2.4</v>
      </c>
      <c r="G192" s="27"/>
      <c r="H192" s="28"/>
      <c r="I192" s="25"/>
      <c r="K192" s="21">
        <v>2340</v>
      </c>
      <c r="L192" s="9"/>
      <c r="W192">
        <v>2.4</v>
      </c>
      <c r="X192">
        <v>1.06</v>
      </c>
      <c r="Y192">
        <f t="shared" si="28"/>
        <v>2.544</v>
      </c>
    </row>
    <row r="193" spans="1:25" ht="43.5" customHeight="1" thickBot="1" x14ac:dyDescent="0.25">
      <c r="A193" s="76">
        <f t="shared" si="39"/>
        <v>164</v>
      </c>
      <c r="B193" s="23" t="s">
        <v>210</v>
      </c>
      <c r="C193" s="24" t="s">
        <v>36</v>
      </c>
      <c r="D193" s="25" t="s">
        <v>23</v>
      </c>
      <c r="E193" s="31" t="s">
        <v>148</v>
      </c>
      <c r="F193" s="100">
        <v>0.65</v>
      </c>
      <c r="G193" s="27"/>
      <c r="H193" s="28"/>
      <c r="I193" s="25"/>
      <c r="K193" s="21">
        <v>2340</v>
      </c>
      <c r="L193" s="9"/>
      <c r="W193">
        <v>0.65</v>
      </c>
      <c r="X193">
        <v>1.06</v>
      </c>
      <c r="Y193">
        <f t="shared" si="28"/>
        <v>0.68900000000000006</v>
      </c>
    </row>
    <row r="194" spans="1:25" ht="43.5" customHeight="1" thickBot="1" x14ac:dyDescent="0.25">
      <c r="A194" s="76">
        <f t="shared" si="39"/>
        <v>165</v>
      </c>
      <c r="B194" s="23" t="s">
        <v>211</v>
      </c>
      <c r="C194" s="24" t="s">
        <v>36</v>
      </c>
      <c r="D194" s="25" t="s">
        <v>23</v>
      </c>
      <c r="E194" s="31" t="s">
        <v>111</v>
      </c>
      <c r="F194" s="100"/>
      <c r="G194" s="27"/>
      <c r="H194" s="28"/>
      <c r="I194" s="25"/>
      <c r="K194" s="21">
        <v>2340</v>
      </c>
      <c r="L194" s="9"/>
      <c r="X194">
        <v>1.06</v>
      </c>
      <c r="Y194">
        <f t="shared" si="28"/>
        <v>0</v>
      </c>
    </row>
    <row r="195" spans="1:25" ht="43.5" customHeight="1" thickBot="1" x14ac:dyDescent="0.25">
      <c r="A195" s="76">
        <f t="shared" si="39"/>
        <v>166</v>
      </c>
      <c r="B195" s="23" t="s">
        <v>212</v>
      </c>
      <c r="C195" s="24" t="s">
        <v>36</v>
      </c>
      <c r="D195" s="25" t="s">
        <v>23</v>
      </c>
      <c r="E195" s="31" t="s">
        <v>148</v>
      </c>
      <c r="F195" s="100"/>
      <c r="G195" s="27"/>
      <c r="H195" s="28"/>
      <c r="I195" s="25"/>
      <c r="K195" s="21">
        <v>2340</v>
      </c>
      <c r="L195" s="9"/>
      <c r="X195">
        <v>1.06</v>
      </c>
      <c r="Y195">
        <f t="shared" si="28"/>
        <v>0</v>
      </c>
    </row>
    <row r="196" spans="1:25" ht="43.5" customHeight="1" thickBot="1" x14ac:dyDescent="0.25">
      <c r="A196" s="76">
        <f t="shared" si="39"/>
        <v>167</v>
      </c>
      <c r="B196" s="23" t="s">
        <v>213</v>
      </c>
      <c r="C196" s="24" t="s">
        <v>36</v>
      </c>
      <c r="D196" s="25" t="s">
        <v>23</v>
      </c>
      <c r="E196" s="31" t="s">
        <v>111</v>
      </c>
      <c r="F196" s="100"/>
      <c r="G196" s="27"/>
      <c r="H196" s="28"/>
      <c r="I196" s="25"/>
      <c r="K196" s="21">
        <v>2340</v>
      </c>
      <c r="L196" s="9"/>
      <c r="X196">
        <v>1.06</v>
      </c>
      <c r="Y196">
        <f t="shared" si="28"/>
        <v>0</v>
      </c>
    </row>
    <row r="197" spans="1:25" ht="43.5" customHeight="1" thickBot="1" x14ac:dyDescent="0.25">
      <c r="A197" s="76">
        <f t="shared" si="39"/>
        <v>168</v>
      </c>
      <c r="B197" s="23" t="s">
        <v>214</v>
      </c>
      <c r="C197" s="24" t="s">
        <v>36</v>
      </c>
      <c r="D197" s="25" t="s">
        <v>23</v>
      </c>
      <c r="E197" s="31" t="s">
        <v>148</v>
      </c>
      <c r="F197" s="100"/>
      <c r="G197" s="27"/>
      <c r="H197" s="28"/>
      <c r="I197" s="25"/>
      <c r="K197" s="21">
        <v>2340</v>
      </c>
      <c r="L197" s="9"/>
      <c r="X197">
        <v>1.06</v>
      </c>
      <c r="Y197">
        <f t="shared" si="28"/>
        <v>0</v>
      </c>
    </row>
    <row r="198" spans="1:25" ht="18.75" customHeight="1" thickBot="1" x14ac:dyDescent="0.25">
      <c r="A198" s="10" t="s">
        <v>215</v>
      </c>
      <c r="B198" s="163" t="s">
        <v>216</v>
      </c>
      <c r="C198" s="164"/>
      <c r="D198" s="164"/>
      <c r="E198" s="164"/>
      <c r="F198" s="164"/>
      <c r="G198" s="164"/>
      <c r="H198" s="165"/>
      <c r="I198" s="25"/>
      <c r="K198" s="21">
        <v>2340</v>
      </c>
      <c r="L198" s="9"/>
      <c r="X198">
        <v>1.06</v>
      </c>
      <c r="Y198">
        <f t="shared" ref="Y198:Y261" si="40">W198*X198</f>
        <v>0</v>
      </c>
    </row>
    <row r="199" spans="1:25" ht="75" customHeight="1" thickBot="1" x14ac:dyDescent="0.25">
      <c r="A199" s="101">
        <f>1+A197</f>
        <v>169</v>
      </c>
      <c r="B199" s="71" t="s">
        <v>217</v>
      </c>
      <c r="C199" s="72" t="s">
        <v>218</v>
      </c>
      <c r="D199" s="102">
        <v>2</v>
      </c>
      <c r="E199" s="73" t="s">
        <v>26</v>
      </c>
      <c r="F199" s="74">
        <v>70.09790000000001</v>
      </c>
      <c r="G199" s="74">
        <v>64.31</v>
      </c>
      <c r="H199" s="75">
        <f>IFERROR(+(F199/G199)-1,"--")</f>
        <v>9.000000000000008E-2</v>
      </c>
      <c r="I199" s="25"/>
      <c r="K199" s="21">
        <v>2340</v>
      </c>
      <c r="L199" s="9"/>
      <c r="W199">
        <v>70.09790000000001</v>
      </c>
      <c r="X199">
        <v>1.06</v>
      </c>
      <c r="Y199">
        <f t="shared" si="40"/>
        <v>74.303774000000018</v>
      </c>
    </row>
    <row r="200" spans="1:25" ht="43.5" customHeight="1" thickBot="1" x14ac:dyDescent="0.25">
      <c r="A200" s="101">
        <f>+A199+1</f>
        <v>170</v>
      </c>
      <c r="B200" s="23" t="s">
        <v>219</v>
      </c>
      <c r="C200" s="24" t="s">
        <v>36</v>
      </c>
      <c r="D200" s="25" t="s">
        <v>23</v>
      </c>
      <c r="E200" s="31" t="s">
        <v>111</v>
      </c>
      <c r="F200" s="100">
        <v>15.31</v>
      </c>
      <c r="G200" s="27"/>
      <c r="H200" s="28"/>
      <c r="I200" s="25"/>
      <c r="K200" s="21">
        <v>2340</v>
      </c>
      <c r="L200" s="9"/>
      <c r="W200">
        <v>15.31</v>
      </c>
      <c r="X200">
        <v>1.06</v>
      </c>
      <c r="Y200">
        <f t="shared" si="40"/>
        <v>16.2286</v>
      </c>
    </row>
    <row r="201" spans="1:25" ht="26.25" customHeight="1" thickBot="1" x14ac:dyDescent="0.25">
      <c r="A201" s="45" t="s">
        <v>220</v>
      </c>
      <c r="B201" s="163" t="s">
        <v>221</v>
      </c>
      <c r="C201" s="164"/>
      <c r="D201" s="164"/>
      <c r="E201" s="164"/>
      <c r="F201" s="164"/>
      <c r="G201" s="164"/>
      <c r="H201" s="165"/>
      <c r="I201" s="25"/>
      <c r="K201" s="21">
        <v>2340</v>
      </c>
      <c r="L201" s="9"/>
      <c r="X201">
        <v>1.06</v>
      </c>
      <c r="Y201">
        <f t="shared" si="40"/>
        <v>0</v>
      </c>
    </row>
    <row r="202" spans="1:25" ht="78" customHeight="1" thickBot="1" x14ac:dyDescent="0.25">
      <c r="A202" s="48">
        <f>+A200+1</f>
        <v>171</v>
      </c>
      <c r="B202" s="49" t="s">
        <v>482</v>
      </c>
      <c r="C202" s="50" t="s">
        <v>36</v>
      </c>
      <c r="D202" s="51">
        <v>2</v>
      </c>
      <c r="E202" s="52" t="s">
        <v>26</v>
      </c>
      <c r="F202" s="53">
        <v>15.172800000000001</v>
      </c>
      <c r="G202" s="53">
        <v>13.92</v>
      </c>
      <c r="H202" s="54">
        <f t="shared" ref="H202:H203" si="41">IFERROR(+(F202/G202)-1,"--")</f>
        <v>9.000000000000008E-2</v>
      </c>
      <c r="I202" s="25"/>
      <c r="K202" s="21">
        <v>2340</v>
      </c>
      <c r="L202" s="9"/>
      <c r="W202">
        <v>15.172800000000001</v>
      </c>
      <c r="X202">
        <v>1.06</v>
      </c>
      <c r="Y202">
        <f t="shared" si="40"/>
        <v>16.083168000000001</v>
      </c>
    </row>
    <row r="203" spans="1:25" ht="71.25" customHeight="1" thickBot="1" x14ac:dyDescent="0.25">
      <c r="A203" s="22">
        <f t="shared" ref="A203:A205" si="42">1+A202</f>
        <v>172</v>
      </c>
      <c r="B203" s="23" t="s">
        <v>222</v>
      </c>
      <c r="C203" s="24" t="s">
        <v>36</v>
      </c>
      <c r="D203" s="25">
        <v>2</v>
      </c>
      <c r="E203" s="31" t="s">
        <v>26</v>
      </c>
      <c r="F203" s="27">
        <v>6.0167999999999999</v>
      </c>
      <c r="G203" s="27">
        <v>5.52</v>
      </c>
      <c r="H203" s="28">
        <f t="shared" si="41"/>
        <v>9.000000000000008E-2</v>
      </c>
      <c r="I203" s="25"/>
      <c r="K203" s="21">
        <v>2340</v>
      </c>
      <c r="L203" s="9"/>
      <c r="W203">
        <v>6.0167999999999999</v>
      </c>
      <c r="X203">
        <v>1.06</v>
      </c>
      <c r="Y203">
        <f t="shared" si="40"/>
        <v>6.3778079999999999</v>
      </c>
    </row>
    <row r="204" spans="1:25" ht="43.5" customHeight="1" thickBot="1" x14ac:dyDescent="0.25">
      <c r="A204" s="22">
        <f t="shared" si="42"/>
        <v>173</v>
      </c>
      <c r="B204" s="23" t="s">
        <v>223</v>
      </c>
      <c r="C204" s="24" t="s">
        <v>36</v>
      </c>
      <c r="D204" s="25"/>
      <c r="E204" s="31" t="s">
        <v>111</v>
      </c>
      <c r="F204" s="100">
        <v>3.28</v>
      </c>
      <c r="G204" s="27"/>
      <c r="H204" s="28"/>
      <c r="I204" s="25"/>
      <c r="K204" s="21">
        <v>2340</v>
      </c>
      <c r="L204" s="9"/>
      <c r="W204">
        <v>3.28</v>
      </c>
      <c r="X204">
        <v>1.06</v>
      </c>
      <c r="Y204">
        <f t="shared" si="40"/>
        <v>3.4767999999999999</v>
      </c>
    </row>
    <row r="205" spans="1:25" ht="43.5" customHeight="1" thickBot="1" x14ac:dyDescent="0.25">
      <c r="A205" s="22">
        <f t="shared" si="42"/>
        <v>174</v>
      </c>
      <c r="B205" s="23" t="s">
        <v>224</v>
      </c>
      <c r="C205" s="24" t="s">
        <v>36</v>
      </c>
      <c r="D205" s="25" t="s">
        <v>23</v>
      </c>
      <c r="E205" s="31" t="s">
        <v>15</v>
      </c>
      <c r="F205" s="100">
        <v>1.7004000000000001</v>
      </c>
      <c r="G205" s="27">
        <v>1.56</v>
      </c>
      <c r="H205" s="28">
        <f>IFERROR(+(F205/G205)-1,"--")</f>
        <v>9.000000000000008E-2</v>
      </c>
      <c r="I205" s="25"/>
      <c r="K205" s="21">
        <v>2340</v>
      </c>
      <c r="L205" s="9"/>
      <c r="W205">
        <v>1.7004000000000001</v>
      </c>
      <c r="X205">
        <v>1.06</v>
      </c>
      <c r="Y205">
        <f t="shared" si="40"/>
        <v>1.8024240000000002</v>
      </c>
    </row>
    <row r="206" spans="1:25" ht="18.75" customHeight="1" thickBot="1" x14ac:dyDescent="0.25">
      <c r="A206" s="45" t="s">
        <v>225</v>
      </c>
      <c r="B206" s="163" t="s">
        <v>226</v>
      </c>
      <c r="C206" s="164"/>
      <c r="D206" s="164"/>
      <c r="E206" s="164"/>
      <c r="F206" s="164"/>
      <c r="G206" s="164"/>
      <c r="H206" s="165"/>
      <c r="I206" s="25"/>
      <c r="K206" s="21">
        <v>2340</v>
      </c>
      <c r="L206" s="9"/>
      <c r="X206">
        <v>1.06</v>
      </c>
      <c r="Y206">
        <f t="shared" si="40"/>
        <v>0</v>
      </c>
    </row>
    <row r="207" spans="1:25" ht="87.75" customHeight="1" thickBot="1" x14ac:dyDescent="0.25">
      <c r="A207" s="48">
        <f>+A205+1</f>
        <v>175</v>
      </c>
      <c r="B207" s="49" t="s">
        <v>227</v>
      </c>
      <c r="C207" s="50" t="s">
        <v>505</v>
      </c>
      <c r="D207" s="51">
        <v>2</v>
      </c>
      <c r="E207" s="52" t="s">
        <v>26</v>
      </c>
      <c r="F207" s="53">
        <v>49.028199999999998</v>
      </c>
      <c r="G207" s="53">
        <v>44.98</v>
      </c>
      <c r="H207" s="54">
        <f>IFERROR(+(F207/G207)-1,"--")</f>
        <v>9.000000000000008E-2</v>
      </c>
      <c r="I207" s="25"/>
      <c r="K207" s="21">
        <v>2340</v>
      </c>
      <c r="L207" s="9"/>
      <c r="W207">
        <v>49.028199999999998</v>
      </c>
      <c r="X207">
        <v>1.06</v>
      </c>
      <c r="Y207">
        <f t="shared" si="40"/>
        <v>51.969892000000002</v>
      </c>
    </row>
    <row r="208" spans="1:25" ht="43.5" customHeight="1" thickBot="1" x14ac:dyDescent="0.25">
      <c r="A208" s="48">
        <f t="shared" ref="A208:A209" si="43">+A207+1</f>
        <v>176</v>
      </c>
      <c r="B208" s="23" t="s">
        <v>228</v>
      </c>
      <c r="C208" s="24"/>
      <c r="D208" s="25"/>
      <c r="E208" s="31" t="s">
        <v>111</v>
      </c>
      <c r="F208" s="100">
        <v>10.5</v>
      </c>
      <c r="G208" s="27"/>
      <c r="H208" s="28"/>
      <c r="I208" s="25"/>
      <c r="K208" s="21">
        <v>2340</v>
      </c>
      <c r="L208" s="9"/>
      <c r="W208">
        <v>10.5</v>
      </c>
      <c r="X208">
        <v>1.06</v>
      </c>
      <c r="Y208">
        <f t="shared" si="40"/>
        <v>11.13</v>
      </c>
    </row>
    <row r="209" spans="1:25" ht="43.5" customHeight="1" thickBot="1" x14ac:dyDescent="0.25">
      <c r="A209" s="48">
        <f t="shared" si="43"/>
        <v>177</v>
      </c>
      <c r="B209" s="23" t="s">
        <v>229</v>
      </c>
      <c r="C209" s="24" t="s">
        <v>505</v>
      </c>
      <c r="D209" s="25" t="s">
        <v>23</v>
      </c>
      <c r="E209" s="31" t="s">
        <v>230</v>
      </c>
      <c r="F209" s="100">
        <v>36.416899999999998</v>
      </c>
      <c r="G209" s="27">
        <v>33.409999999999997</v>
      </c>
      <c r="H209" s="28">
        <f>IFERROR(+(F209/G209)-1,"--")</f>
        <v>9.000000000000008E-2</v>
      </c>
      <c r="I209" s="25"/>
      <c r="K209" s="21">
        <v>2340</v>
      </c>
      <c r="L209" s="9"/>
      <c r="W209">
        <v>36.416899999999998</v>
      </c>
      <c r="X209">
        <v>1.06</v>
      </c>
      <c r="Y209">
        <f t="shared" si="40"/>
        <v>38.601914000000001</v>
      </c>
    </row>
    <row r="210" spans="1:25" ht="18.75" customHeight="1" thickBot="1" x14ac:dyDescent="0.25">
      <c r="A210" s="45" t="s">
        <v>231</v>
      </c>
      <c r="B210" s="163" t="s">
        <v>232</v>
      </c>
      <c r="C210" s="164"/>
      <c r="D210" s="164"/>
      <c r="E210" s="164"/>
      <c r="F210" s="164"/>
      <c r="G210" s="164"/>
      <c r="H210" s="165"/>
      <c r="I210" s="25"/>
      <c r="K210" s="21">
        <v>2340</v>
      </c>
      <c r="L210" s="9"/>
      <c r="X210">
        <v>1.06</v>
      </c>
      <c r="Y210">
        <f t="shared" si="40"/>
        <v>0</v>
      </c>
    </row>
    <row r="211" spans="1:25" ht="42" customHeight="1" thickBot="1" x14ac:dyDescent="0.25">
      <c r="A211" s="101">
        <f>1+A209</f>
        <v>178</v>
      </c>
      <c r="B211" s="71" t="s">
        <v>233</v>
      </c>
      <c r="C211" s="72" t="s">
        <v>535</v>
      </c>
      <c r="D211" s="103">
        <v>4</v>
      </c>
      <c r="E211" s="73" t="s">
        <v>26</v>
      </c>
      <c r="F211" s="74">
        <v>8.9270999999999994</v>
      </c>
      <c r="G211" s="74">
        <v>8.19</v>
      </c>
      <c r="H211" s="75">
        <f>IFERROR(+(F211/G211)-1,"--")</f>
        <v>9.000000000000008E-2</v>
      </c>
      <c r="I211" s="25"/>
      <c r="K211" s="21">
        <v>2340</v>
      </c>
      <c r="L211" s="9"/>
      <c r="W211">
        <v>8.9270999999999994</v>
      </c>
      <c r="X211">
        <v>1.06</v>
      </c>
      <c r="Y211">
        <f t="shared" si="40"/>
        <v>9.462726</v>
      </c>
    </row>
    <row r="212" spans="1:25" ht="24" customHeight="1" thickBot="1" x14ac:dyDescent="0.25">
      <c r="A212" s="45" t="s">
        <v>234</v>
      </c>
      <c r="B212" s="163" t="s">
        <v>235</v>
      </c>
      <c r="C212" s="164"/>
      <c r="D212" s="164"/>
      <c r="E212" s="164"/>
      <c r="F212" s="164"/>
      <c r="G212" s="164"/>
      <c r="H212" s="165"/>
      <c r="I212" s="25"/>
      <c r="K212" s="21">
        <v>2340</v>
      </c>
      <c r="L212" s="9"/>
      <c r="X212">
        <v>1.06</v>
      </c>
      <c r="Y212">
        <f t="shared" si="40"/>
        <v>0</v>
      </c>
    </row>
    <row r="213" spans="1:25" ht="29.25" customHeight="1" thickBot="1" x14ac:dyDescent="0.25">
      <c r="A213" s="80">
        <f>1+A211</f>
        <v>179</v>
      </c>
      <c r="B213" s="56" t="s">
        <v>236</v>
      </c>
      <c r="C213" s="57" t="s">
        <v>36</v>
      </c>
      <c r="D213" s="103">
        <v>1</v>
      </c>
      <c r="E213" s="59" t="s">
        <v>15</v>
      </c>
      <c r="F213" s="60">
        <v>9.0299999999999994</v>
      </c>
      <c r="G213" s="60">
        <v>8.2799999999999994</v>
      </c>
      <c r="H213" s="61">
        <f>IFERROR(+(F213/G213)-1,"--")</f>
        <v>9.0579710144927494E-2</v>
      </c>
      <c r="I213" s="25"/>
      <c r="K213" s="21">
        <v>2340</v>
      </c>
      <c r="L213" s="9"/>
      <c r="W213">
        <v>9.0299999999999994</v>
      </c>
      <c r="X213">
        <v>1.06</v>
      </c>
      <c r="Y213">
        <f t="shared" si="40"/>
        <v>9.5717999999999996</v>
      </c>
    </row>
    <row r="214" spans="1:25" ht="18.75" customHeight="1" thickBot="1" x14ac:dyDescent="0.25">
      <c r="A214" s="45" t="s">
        <v>237</v>
      </c>
      <c r="B214" s="163" t="s">
        <v>238</v>
      </c>
      <c r="C214" s="164"/>
      <c r="D214" s="164"/>
      <c r="E214" s="164"/>
      <c r="F214" s="164"/>
      <c r="G214" s="164"/>
      <c r="H214" s="165"/>
      <c r="I214" s="25"/>
      <c r="K214" s="21">
        <v>2340</v>
      </c>
      <c r="L214" s="9"/>
      <c r="X214">
        <v>1.06</v>
      </c>
      <c r="Y214">
        <f t="shared" si="40"/>
        <v>0</v>
      </c>
    </row>
    <row r="215" spans="1:25" ht="61.5" customHeight="1" thickBot="1" x14ac:dyDescent="0.25">
      <c r="A215" s="80">
        <f>1+A213</f>
        <v>180</v>
      </c>
      <c r="B215" s="56" t="s">
        <v>239</v>
      </c>
      <c r="C215" s="89" t="s">
        <v>240</v>
      </c>
      <c r="D215" s="104" t="s">
        <v>241</v>
      </c>
      <c r="E215" s="81" t="s">
        <v>26</v>
      </c>
      <c r="F215" s="60">
        <v>23.652999999999999</v>
      </c>
      <c r="G215" s="60">
        <v>21.7</v>
      </c>
      <c r="H215" s="61">
        <f t="shared" ref="H215:H218" si="44">IFERROR(+(F215/G215)-1,"--")</f>
        <v>9.000000000000008E-2</v>
      </c>
      <c r="I215" s="25">
        <v>23400260</v>
      </c>
      <c r="K215" s="21">
        <v>2340</v>
      </c>
      <c r="L215" s="9"/>
      <c r="W215">
        <v>23.652999999999999</v>
      </c>
      <c r="X215">
        <v>1.06</v>
      </c>
      <c r="Y215">
        <f t="shared" si="40"/>
        <v>25.072179999999999</v>
      </c>
    </row>
    <row r="216" spans="1:25" ht="61.5" customHeight="1" thickBot="1" x14ac:dyDescent="0.25">
      <c r="A216" s="80">
        <f t="shared" ref="A216:A218" si="45">+A215+1</f>
        <v>181</v>
      </c>
      <c r="B216" s="56" t="s">
        <v>242</v>
      </c>
      <c r="C216" s="89" t="s">
        <v>240</v>
      </c>
      <c r="D216" s="29" t="s">
        <v>23</v>
      </c>
      <c r="E216" s="81" t="s">
        <v>26</v>
      </c>
      <c r="F216" s="60">
        <v>7.3792999999999997</v>
      </c>
      <c r="G216" s="60">
        <v>6.77</v>
      </c>
      <c r="H216" s="61">
        <f t="shared" si="44"/>
        <v>9.000000000000008E-2</v>
      </c>
      <c r="I216" s="25">
        <v>23400262</v>
      </c>
      <c r="K216" s="21">
        <v>2340</v>
      </c>
      <c r="L216" s="9"/>
      <c r="W216">
        <v>7.3792999999999997</v>
      </c>
      <c r="X216">
        <v>1.06</v>
      </c>
      <c r="Y216">
        <f t="shared" si="40"/>
        <v>7.8220580000000002</v>
      </c>
    </row>
    <row r="217" spans="1:25" ht="72" customHeight="1" thickBot="1" x14ac:dyDescent="0.25">
      <c r="A217" s="80">
        <f t="shared" si="45"/>
        <v>182</v>
      </c>
      <c r="B217" s="64" t="s">
        <v>243</v>
      </c>
      <c r="C217" s="24" t="s">
        <v>36</v>
      </c>
      <c r="D217" s="105" t="s">
        <v>244</v>
      </c>
      <c r="E217" s="67" t="s">
        <v>15</v>
      </c>
      <c r="F217" s="27">
        <v>36.416899999999998</v>
      </c>
      <c r="G217" s="27">
        <v>33.409999999999997</v>
      </c>
      <c r="H217" s="28">
        <f t="shared" si="44"/>
        <v>9.000000000000008E-2</v>
      </c>
      <c r="I217" s="25"/>
      <c r="K217" s="21">
        <v>2340</v>
      </c>
      <c r="L217" s="9"/>
      <c r="W217">
        <v>36.416899999999998</v>
      </c>
      <c r="X217">
        <v>1.06</v>
      </c>
      <c r="Y217">
        <f t="shared" si="40"/>
        <v>38.601914000000001</v>
      </c>
    </row>
    <row r="218" spans="1:25" ht="45" customHeight="1" thickBot="1" x14ac:dyDescent="0.25">
      <c r="A218" s="80">
        <f t="shared" si="45"/>
        <v>183</v>
      </c>
      <c r="B218" s="106" t="s">
        <v>481</v>
      </c>
      <c r="C218" s="89" t="s">
        <v>36</v>
      </c>
      <c r="D218" s="107" t="s">
        <v>245</v>
      </c>
      <c r="E218" s="57" t="s">
        <v>15</v>
      </c>
      <c r="F218" s="53">
        <v>27.250000000000004</v>
      </c>
      <c r="G218" s="53">
        <v>25</v>
      </c>
      <c r="H218" s="54">
        <f t="shared" si="44"/>
        <v>9.000000000000008E-2</v>
      </c>
      <c r="I218" s="25"/>
      <c r="K218" s="21">
        <v>2340</v>
      </c>
      <c r="L218" s="9"/>
      <c r="W218">
        <v>27.250000000000004</v>
      </c>
      <c r="X218">
        <v>1.06</v>
      </c>
      <c r="Y218">
        <f t="shared" si="40"/>
        <v>28.885000000000005</v>
      </c>
    </row>
    <row r="219" spans="1:25" ht="19.5" customHeight="1" thickBot="1" x14ac:dyDescent="0.25">
      <c r="A219" s="10" t="s">
        <v>246</v>
      </c>
      <c r="B219" s="167" t="s">
        <v>247</v>
      </c>
      <c r="C219" s="168"/>
      <c r="D219" s="168"/>
      <c r="E219" s="168"/>
      <c r="F219" s="168"/>
      <c r="G219" s="168"/>
      <c r="H219" s="168"/>
      <c r="I219" s="168"/>
      <c r="J219" s="169"/>
      <c r="K219" s="8"/>
      <c r="L219" s="9"/>
    </row>
    <row r="220" spans="1:25" ht="24" customHeight="1" thickBot="1" x14ac:dyDescent="0.25">
      <c r="A220" s="1" t="s">
        <v>248</v>
      </c>
      <c r="B220" s="163" t="s">
        <v>249</v>
      </c>
      <c r="C220" s="164"/>
      <c r="D220" s="164"/>
      <c r="E220" s="164"/>
      <c r="F220" s="164"/>
      <c r="G220" s="164"/>
      <c r="H220" s="165"/>
      <c r="I220" s="25"/>
      <c r="K220" s="62"/>
      <c r="L220" s="9"/>
    </row>
    <row r="221" spans="1:25" ht="24" customHeight="1" thickBot="1" x14ac:dyDescent="0.25">
      <c r="A221" s="70">
        <f>+A218+1</f>
        <v>184</v>
      </c>
      <c r="B221" s="49" t="s">
        <v>250</v>
      </c>
      <c r="C221" s="50" t="s">
        <v>506</v>
      </c>
      <c r="D221" s="108" t="s">
        <v>23</v>
      </c>
      <c r="E221" s="52" t="s">
        <v>251</v>
      </c>
      <c r="F221" s="53">
        <v>1.4</v>
      </c>
      <c r="G221" s="53">
        <v>1.4</v>
      </c>
      <c r="H221" s="54">
        <f t="shared" ref="H221:H223" si="46">IFERROR(+(F221/G221)-1,"--")</f>
        <v>0</v>
      </c>
      <c r="I221" s="25"/>
      <c r="J221" s="109">
        <f t="shared" ref="J221:J236" si="47">+F221*1.2</f>
        <v>1.68</v>
      </c>
      <c r="K221" s="21">
        <v>2339</v>
      </c>
      <c r="L221" s="9"/>
      <c r="W221">
        <v>1.4</v>
      </c>
      <c r="X221">
        <v>1</v>
      </c>
      <c r="Y221">
        <f t="shared" si="40"/>
        <v>1.4</v>
      </c>
    </row>
    <row r="222" spans="1:25" ht="24" customHeight="1" thickBot="1" x14ac:dyDescent="0.25">
      <c r="A222" s="110">
        <f t="shared" ref="A222:A223" si="48">1+A221</f>
        <v>185</v>
      </c>
      <c r="B222" s="23" t="s">
        <v>252</v>
      </c>
      <c r="C222" s="24" t="s">
        <v>507</v>
      </c>
      <c r="D222" s="111" t="s">
        <v>23</v>
      </c>
      <c r="E222" s="31" t="s">
        <v>15</v>
      </c>
      <c r="F222" s="27">
        <v>0.73</v>
      </c>
      <c r="G222" s="27">
        <v>0.73</v>
      </c>
      <c r="H222" s="28">
        <f t="shared" si="46"/>
        <v>0</v>
      </c>
      <c r="I222" s="25"/>
      <c r="J222" s="109">
        <f t="shared" si="47"/>
        <v>0.876</v>
      </c>
      <c r="K222" s="21">
        <v>2339</v>
      </c>
      <c r="L222" s="9"/>
      <c r="W222">
        <v>0.73</v>
      </c>
      <c r="X222">
        <v>1</v>
      </c>
      <c r="Y222">
        <f t="shared" si="40"/>
        <v>0.73</v>
      </c>
    </row>
    <row r="223" spans="1:25" ht="24" customHeight="1" thickBot="1" x14ac:dyDescent="0.25">
      <c r="A223" s="101">
        <f t="shared" si="48"/>
        <v>186</v>
      </c>
      <c r="B223" s="64" t="s">
        <v>253</v>
      </c>
      <c r="C223" s="65" t="s">
        <v>254</v>
      </c>
      <c r="D223" s="112" t="s">
        <v>23</v>
      </c>
      <c r="E223" s="67" t="s">
        <v>58</v>
      </c>
      <c r="F223" s="68">
        <v>3</v>
      </c>
      <c r="G223" s="68">
        <v>4.9000000000000004</v>
      </c>
      <c r="H223" s="69">
        <f t="shared" si="46"/>
        <v>-0.38775510204081642</v>
      </c>
      <c r="I223" s="25"/>
      <c r="J223" s="109">
        <f t="shared" si="47"/>
        <v>3.5999999999999996</v>
      </c>
      <c r="K223" s="21">
        <v>2339</v>
      </c>
      <c r="L223" s="9"/>
      <c r="W223">
        <v>3</v>
      </c>
      <c r="X223">
        <v>1</v>
      </c>
      <c r="Y223">
        <f t="shared" si="40"/>
        <v>3</v>
      </c>
    </row>
    <row r="224" spans="1:25" ht="24" customHeight="1" thickBot="1" x14ac:dyDescent="0.25">
      <c r="A224" s="1" t="s">
        <v>255</v>
      </c>
      <c r="B224" s="163" t="s">
        <v>256</v>
      </c>
      <c r="C224" s="164"/>
      <c r="D224" s="164"/>
      <c r="E224" s="164"/>
      <c r="F224" s="164"/>
      <c r="G224" s="164"/>
      <c r="H224" s="165"/>
      <c r="I224" s="25"/>
      <c r="J224" s="109">
        <f t="shared" si="47"/>
        <v>0</v>
      </c>
      <c r="K224" s="21">
        <v>2339</v>
      </c>
      <c r="L224" s="9"/>
      <c r="X224">
        <v>1</v>
      </c>
      <c r="Y224">
        <f t="shared" si="40"/>
        <v>0</v>
      </c>
    </row>
    <row r="225" spans="1:25" ht="24" customHeight="1" thickBot="1" x14ac:dyDescent="0.25">
      <c r="A225" s="70">
        <f>+A223+1</f>
        <v>187</v>
      </c>
      <c r="B225" s="49" t="s">
        <v>257</v>
      </c>
      <c r="C225" s="50" t="s">
        <v>36</v>
      </c>
      <c r="D225" s="108" t="s">
        <v>23</v>
      </c>
      <c r="E225" s="52" t="s">
        <v>258</v>
      </c>
      <c r="F225" s="53">
        <v>1.53</v>
      </c>
      <c r="G225" s="53">
        <v>1.53</v>
      </c>
      <c r="H225" s="54">
        <f t="shared" ref="H225:H227" si="49">IFERROR(+(F225/G225)-1,"--")</f>
        <v>0</v>
      </c>
      <c r="I225" s="25"/>
      <c r="J225" s="109">
        <f t="shared" si="47"/>
        <v>1.8359999999999999</v>
      </c>
      <c r="K225" s="21">
        <v>2339</v>
      </c>
      <c r="L225" s="9"/>
      <c r="W225">
        <v>1.53</v>
      </c>
      <c r="X225">
        <v>1</v>
      </c>
      <c r="Y225">
        <f t="shared" si="40"/>
        <v>1.53</v>
      </c>
    </row>
    <row r="226" spans="1:25" ht="24" customHeight="1" thickBot="1" x14ac:dyDescent="0.25">
      <c r="A226" s="110">
        <f t="shared" ref="A226:A227" si="50">1+A225</f>
        <v>188</v>
      </c>
      <c r="B226" s="23" t="s">
        <v>259</v>
      </c>
      <c r="C226" s="24" t="s">
        <v>508</v>
      </c>
      <c r="D226" s="111" t="s">
        <v>23</v>
      </c>
      <c r="E226" s="31" t="s">
        <v>26</v>
      </c>
      <c r="F226" s="27">
        <v>2</v>
      </c>
      <c r="G226" s="27">
        <v>0.8</v>
      </c>
      <c r="H226" s="28">
        <f t="shared" si="49"/>
        <v>1.5</v>
      </c>
      <c r="I226" s="25"/>
      <c r="J226" s="109">
        <f t="shared" si="47"/>
        <v>2.4</v>
      </c>
      <c r="K226" s="21">
        <v>2339</v>
      </c>
      <c r="L226" s="9"/>
      <c r="W226">
        <v>2</v>
      </c>
      <c r="X226">
        <v>1</v>
      </c>
      <c r="Y226">
        <f t="shared" si="40"/>
        <v>2</v>
      </c>
    </row>
    <row r="227" spans="1:25" ht="24" customHeight="1" thickBot="1" x14ac:dyDescent="0.25">
      <c r="A227" s="101">
        <f t="shared" si="50"/>
        <v>189</v>
      </c>
      <c r="B227" s="71" t="s">
        <v>260</v>
      </c>
      <c r="C227" s="72" t="s">
        <v>36</v>
      </c>
      <c r="D227" s="112" t="s">
        <v>23</v>
      </c>
      <c r="E227" s="73" t="s">
        <v>58</v>
      </c>
      <c r="F227" s="74">
        <v>3.4</v>
      </c>
      <c r="G227" s="74">
        <v>3.4</v>
      </c>
      <c r="H227" s="75">
        <f t="shared" si="49"/>
        <v>0</v>
      </c>
      <c r="I227" s="25"/>
      <c r="J227" s="109">
        <f t="shared" si="47"/>
        <v>4.08</v>
      </c>
      <c r="K227" s="21">
        <v>2339</v>
      </c>
      <c r="L227" s="9"/>
      <c r="W227">
        <v>3.4</v>
      </c>
      <c r="X227">
        <v>1</v>
      </c>
      <c r="Y227">
        <f t="shared" si="40"/>
        <v>3.4</v>
      </c>
    </row>
    <row r="228" spans="1:25" ht="24" customHeight="1" thickBot="1" x14ac:dyDescent="0.25">
      <c r="A228" s="1" t="s">
        <v>261</v>
      </c>
      <c r="B228" s="163" t="s">
        <v>262</v>
      </c>
      <c r="C228" s="164"/>
      <c r="D228" s="164"/>
      <c r="E228" s="164"/>
      <c r="F228" s="164"/>
      <c r="G228" s="164"/>
      <c r="H228" s="165"/>
      <c r="I228" s="25"/>
      <c r="J228" s="109">
        <f t="shared" si="47"/>
        <v>0</v>
      </c>
      <c r="K228" s="21">
        <v>2339</v>
      </c>
      <c r="L228" s="9"/>
      <c r="X228">
        <v>1</v>
      </c>
      <c r="Y228">
        <f t="shared" si="40"/>
        <v>0</v>
      </c>
    </row>
    <row r="229" spans="1:25" ht="24" customHeight="1" thickBot="1" x14ac:dyDescent="0.25">
      <c r="A229" s="22">
        <f>A227+1</f>
        <v>190</v>
      </c>
      <c r="B229" s="15" t="s">
        <v>263</v>
      </c>
      <c r="C229" s="16" t="s">
        <v>36</v>
      </c>
      <c r="D229" s="108" t="s">
        <v>23</v>
      </c>
      <c r="E229" s="78" t="s">
        <v>58</v>
      </c>
      <c r="F229" s="19">
        <v>3.33</v>
      </c>
      <c r="G229" s="19">
        <v>3.33</v>
      </c>
      <c r="H229" s="20">
        <f t="shared" ref="H229:H241" si="51">IFERROR(+(F229/G229)-1,"--")</f>
        <v>0</v>
      </c>
      <c r="I229" s="25"/>
      <c r="J229" s="109">
        <f t="shared" si="47"/>
        <v>3.996</v>
      </c>
      <c r="K229" s="21">
        <v>2339</v>
      </c>
      <c r="L229" s="9"/>
      <c r="W229">
        <v>3.33</v>
      </c>
      <c r="X229">
        <v>1</v>
      </c>
      <c r="Y229">
        <f t="shared" si="40"/>
        <v>3.33</v>
      </c>
    </row>
    <row r="230" spans="1:25" ht="24" customHeight="1" thickBot="1" x14ac:dyDescent="0.25">
      <c r="A230" s="22">
        <f t="shared" ref="A230:A248" si="52">A229+1</f>
        <v>191</v>
      </c>
      <c r="B230" s="23" t="s">
        <v>264</v>
      </c>
      <c r="C230" s="24" t="s">
        <v>36</v>
      </c>
      <c r="D230" s="111" t="s">
        <v>23</v>
      </c>
      <c r="E230" s="31" t="s">
        <v>58</v>
      </c>
      <c r="F230" s="27">
        <v>4.9000000000000004</v>
      </c>
      <c r="G230" s="27">
        <v>4.9000000000000004</v>
      </c>
      <c r="H230" s="28">
        <f t="shared" si="51"/>
        <v>0</v>
      </c>
      <c r="I230" s="25"/>
      <c r="J230" s="109">
        <f t="shared" si="47"/>
        <v>5.88</v>
      </c>
      <c r="K230" s="21">
        <v>2339</v>
      </c>
      <c r="L230" s="9"/>
      <c r="W230">
        <v>4.9000000000000004</v>
      </c>
      <c r="X230">
        <v>1</v>
      </c>
      <c r="Y230">
        <f t="shared" si="40"/>
        <v>4.9000000000000004</v>
      </c>
    </row>
    <row r="231" spans="1:25" ht="24" customHeight="1" thickBot="1" x14ac:dyDescent="0.25">
      <c r="A231" s="22">
        <f t="shared" si="52"/>
        <v>192</v>
      </c>
      <c r="B231" s="64" t="s">
        <v>265</v>
      </c>
      <c r="C231" s="65" t="s">
        <v>36</v>
      </c>
      <c r="D231" s="111" t="s">
        <v>23</v>
      </c>
      <c r="E231" s="67" t="s">
        <v>58</v>
      </c>
      <c r="F231" s="68">
        <v>9.23</v>
      </c>
      <c r="G231" s="68">
        <v>5.83</v>
      </c>
      <c r="H231" s="69">
        <f t="shared" si="51"/>
        <v>0.58319039451114918</v>
      </c>
      <c r="I231" s="25"/>
      <c r="J231" s="109">
        <f t="shared" si="47"/>
        <v>11.076000000000001</v>
      </c>
      <c r="K231" s="21">
        <v>2339</v>
      </c>
      <c r="L231" s="9"/>
      <c r="W231">
        <v>9.23</v>
      </c>
      <c r="X231">
        <v>1</v>
      </c>
      <c r="Y231">
        <f t="shared" si="40"/>
        <v>9.23</v>
      </c>
    </row>
    <row r="232" spans="1:25" s="153" customFormat="1" ht="24" customHeight="1" thickBot="1" x14ac:dyDescent="0.25">
      <c r="A232" s="142">
        <f t="shared" si="52"/>
        <v>193</v>
      </c>
      <c r="B232" s="143" t="s">
        <v>266</v>
      </c>
      <c r="C232" s="144" t="s">
        <v>36</v>
      </c>
      <c r="D232" s="145" t="s">
        <v>23</v>
      </c>
      <c r="E232" s="146" t="s">
        <v>58</v>
      </c>
      <c r="F232" s="147">
        <v>4.5999999999999996</v>
      </c>
      <c r="G232" s="147">
        <v>4.5999999999999996</v>
      </c>
      <c r="H232" s="148">
        <f t="shared" si="51"/>
        <v>0</v>
      </c>
      <c r="I232" s="149"/>
      <c r="J232" s="150">
        <f t="shared" si="47"/>
        <v>5.52</v>
      </c>
      <c r="K232" s="151">
        <v>2339</v>
      </c>
      <c r="L232" s="152"/>
      <c r="N232" s="154">
        <f>5.83+3.4</f>
        <v>9.23</v>
      </c>
      <c r="W232" s="153">
        <v>4.5999999999999996</v>
      </c>
      <c r="X232">
        <v>1</v>
      </c>
      <c r="Y232">
        <f t="shared" si="40"/>
        <v>4.5999999999999996</v>
      </c>
    </row>
    <row r="233" spans="1:25" ht="24" customHeight="1" thickBot="1" x14ac:dyDescent="0.25">
      <c r="A233" s="22">
        <f t="shared" si="52"/>
        <v>194</v>
      </c>
      <c r="B233" s="23" t="s">
        <v>474</v>
      </c>
      <c r="C233" s="24" t="s">
        <v>36</v>
      </c>
      <c r="D233" s="111" t="s">
        <v>23</v>
      </c>
      <c r="E233" s="31" t="s">
        <v>58</v>
      </c>
      <c r="F233" s="27">
        <v>8</v>
      </c>
      <c r="G233" s="27">
        <v>8</v>
      </c>
      <c r="H233" s="28">
        <f t="shared" si="51"/>
        <v>0</v>
      </c>
      <c r="I233" s="25"/>
      <c r="J233" s="109">
        <f t="shared" si="47"/>
        <v>9.6</v>
      </c>
      <c r="K233" s="21">
        <v>2339</v>
      </c>
      <c r="L233" s="9"/>
      <c r="W233">
        <v>8</v>
      </c>
      <c r="X233">
        <v>1</v>
      </c>
      <c r="Y233">
        <f t="shared" si="40"/>
        <v>8</v>
      </c>
    </row>
    <row r="234" spans="1:25" s="153" customFormat="1" ht="24" customHeight="1" thickBot="1" x14ac:dyDescent="0.25">
      <c r="A234" s="142">
        <f t="shared" si="52"/>
        <v>195</v>
      </c>
      <c r="B234" s="143" t="s">
        <v>267</v>
      </c>
      <c r="C234" s="144" t="s">
        <v>36</v>
      </c>
      <c r="D234" s="145" t="s">
        <v>23</v>
      </c>
      <c r="E234" s="146" t="s">
        <v>58</v>
      </c>
      <c r="F234" s="147">
        <v>13.3</v>
      </c>
      <c r="G234" s="147">
        <v>13.3</v>
      </c>
      <c r="H234" s="148">
        <f t="shared" si="51"/>
        <v>0</v>
      </c>
      <c r="I234" s="149"/>
      <c r="J234" s="150">
        <f t="shared" si="47"/>
        <v>15.96</v>
      </c>
      <c r="K234" s="151">
        <v>2339</v>
      </c>
      <c r="L234" s="152"/>
      <c r="W234" s="153">
        <v>13.3</v>
      </c>
      <c r="X234">
        <v>1</v>
      </c>
      <c r="Y234">
        <f t="shared" si="40"/>
        <v>13.3</v>
      </c>
    </row>
    <row r="235" spans="1:25" s="153" customFormat="1" ht="24" customHeight="1" thickBot="1" x14ac:dyDescent="0.25">
      <c r="A235" s="142">
        <f t="shared" si="52"/>
        <v>196</v>
      </c>
      <c r="B235" s="143" t="s">
        <v>268</v>
      </c>
      <c r="C235" s="144" t="s">
        <v>36</v>
      </c>
      <c r="D235" s="145" t="s">
        <v>23</v>
      </c>
      <c r="E235" s="146" t="s">
        <v>58</v>
      </c>
      <c r="F235" s="147">
        <v>5.32</v>
      </c>
      <c r="G235" s="147">
        <v>5.32</v>
      </c>
      <c r="H235" s="148">
        <f t="shared" si="51"/>
        <v>0</v>
      </c>
      <c r="I235" s="149"/>
      <c r="J235" s="150">
        <f t="shared" si="47"/>
        <v>6.3840000000000003</v>
      </c>
      <c r="K235" s="151">
        <v>2339</v>
      </c>
      <c r="L235" s="152"/>
      <c r="W235" s="153">
        <v>5.32</v>
      </c>
      <c r="X235">
        <v>1</v>
      </c>
      <c r="Y235">
        <f t="shared" si="40"/>
        <v>5.32</v>
      </c>
    </row>
    <row r="236" spans="1:25" s="153" customFormat="1" ht="24" customHeight="1" thickBot="1" x14ac:dyDescent="0.25">
      <c r="A236" s="142">
        <f t="shared" si="52"/>
        <v>197</v>
      </c>
      <c r="B236" s="143" t="s">
        <v>269</v>
      </c>
      <c r="C236" s="144" t="s">
        <v>36</v>
      </c>
      <c r="D236" s="145" t="s">
        <v>23</v>
      </c>
      <c r="E236" s="146" t="s">
        <v>58</v>
      </c>
      <c r="F236" s="147">
        <v>2.66</v>
      </c>
      <c r="G236" s="147">
        <v>2.66</v>
      </c>
      <c r="H236" s="148">
        <f t="shared" si="51"/>
        <v>0</v>
      </c>
      <c r="I236" s="149"/>
      <c r="J236" s="150">
        <f t="shared" si="47"/>
        <v>3.1920000000000002</v>
      </c>
      <c r="K236" s="151">
        <v>2339</v>
      </c>
      <c r="L236" s="152"/>
      <c r="W236" s="153">
        <v>2.66</v>
      </c>
      <c r="X236">
        <v>1</v>
      </c>
      <c r="Y236">
        <f t="shared" si="40"/>
        <v>2.66</v>
      </c>
    </row>
    <row r="237" spans="1:25" ht="24" customHeight="1" thickBot="1" x14ac:dyDescent="0.25">
      <c r="A237" s="22">
        <f t="shared" si="52"/>
        <v>198</v>
      </c>
      <c r="B237" s="23" t="s">
        <v>270</v>
      </c>
      <c r="C237" s="24" t="s">
        <v>36</v>
      </c>
      <c r="D237" s="111" t="s">
        <v>23</v>
      </c>
      <c r="E237" s="31" t="s">
        <v>271</v>
      </c>
      <c r="F237" s="27">
        <v>13.3</v>
      </c>
      <c r="G237" s="27">
        <v>13.3</v>
      </c>
      <c r="H237" s="28">
        <f t="shared" si="51"/>
        <v>0</v>
      </c>
      <c r="I237" s="25"/>
      <c r="J237" s="109"/>
      <c r="K237" s="21">
        <v>2339</v>
      </c>
      <c r="L237" s="9"/>
      <c r="W237">
        <v>13.3</v>
      </c>
      <c r="X237">
        <v>1</v>
      </c>
      <c r="Y237">
        <f t="shared" si="40"/>
        <v>13.3</v>
      </c>
    </row>
    <row r="238" spans="1:25" ht="24" customHeight="1" thickBot="1" x14ac:dyDescent="0.25">
      <c r="A238" s="22">
        <f t="shared" si="52"/>
        <v>199</v>
      </c>
      <c r="B238" s="23" t="s">
        <v>272</v>
      </c>
      <c r="C238" s="24" t="s">
        <v>36</v>
      </c>
      <c r="D238" s="111" t="s">
        <v>23</v>
      </c>
      <c r="E238" s="31" t="s">
        <v>271</v>
      </c>
      <c r="F238" s="27">
        <v>5.32</v>
      </c>
      <c r="G238" s="27">
        <v>5.32</v>
      </c>
      <c r="H238" s="28">
        <f t="shared" si="51"/>
        <v>0</v>
      </c>
      <c r="I238" s="25"/>
      <c r="J238" s="109"/>
      <c r="K238" s="21">
        <v>2339</v>
      </c>
      <c r="L238" s="9"/>
      <c r="W238">
        <v>5.32</v>
      </c>
      <c r="X238">
        <v>1</v>
      </c>
      <c r="Y238">
        <f t="shared" si="40"/>
        <v>5.32</v>
      </c>
    </row>
    <row r="239" spans="1:25" ht="24" customHeight="1" thickBot="1" x14ac:dyDescent="0.25">
      <c r="A239" s="22">
        <f t="shared" si="52"/>
        <v>200</v>
      </c>
      <c r="B239" s="23" t="s">
        <v>604</v>
      </c>
      <c r="C239" s="24" t="s">
        <v>36</v>
      </c>
      <c r="D239" s="111" t="s">
        <v>23</v>
      </c>
      <c r="E239" s="31" t="s">
        <v>271</v>
      </c>
      <c r="F239" s="27">
        <v>2.9</v>
      </c>
      <c r="G239" s="27">
        <v>2.66</v>
      </c>
      <c r="H239" s="28">
        <f t="shared" si="51"/>
        <v>9.0225563909774431E-2</v>
      </c>
      <c r="I239" s="25"/>
      <c r="J239" s="109"/>
      <c r="K239" s="21">
        <v>2339</v>
      </c>
      <c r="L239" s="9"/>
      <c r="W239">
        <v>2.66</v>
      </c>
      <c r="X239">
        <v>1</v>
      </c>
      <c r="Y239">
        <f t="shared" si="40"/>
        <v>2.66</v>
      </c>
    </row>
    <row r="240" spans="1:25" s="153" customFormat="1" ht="24" customHeight="1" thickBot="1" x14ac:dyDescent="0.25">
      <c r="A240" s="142">
        <f t="shared" si="52"/>
        <v>201</v>
      </c>
      <c r="B240" s="143" t="s">
        <v>273</v>
      </c>
      <c r="C240" s="144" t="s">
        <v>36</v>
      </c>
      <c r="D240" s="145" t="s">
        <v>23</v>
      </c>
      <c r="E240" s="146" t="s">
        <v>58</v>
      </c>
      <c r="F240" s="147">
        <v>4.1100000000000003</v>
      </c>
      <c r="G240" s="147">
        <v>4.1100000000000003</v>
      </c>
      <c r="H240" s="148">
        <f t="shared" si="51"/>
        <v>0</v>
      </c>
      <c r="I240" s="149"/>
      <c r="J240" s="150">
        <f>+F240*1.2</f>
        <v>4.9320000000000004</v>
      </c>
      <c r="K240" s="151">
        <v>2339</v>
      </c>
      <c r="L240" s="152"/>
      <c r="W240" s="153">
        <v>4.1100000000000003</v>
      </c>
      <c r="X240">
        <v>1</v>
      </c>
      <c r="Y240">
        <f t="shared" si="40"/>
        <v>4.1100000000000003</v>
      </c>
    </row>
    <row r="241" spans="1:25" ht="24" customHeight="1" thickBot="1" x14ac:dyDescent="0.25">
      <c r="A241" s="22">
        <f t="shared" si="52"/>
        <v>202</v>
      </c>
      <c r="B241" s="64" t="s">
        <v>274</v>
      </c>
      <c r="C241" s="65" t="s">
        <v>36</v>
      </c>
      <c r="D241" s="113" t="s">
        <v>23</v>
      </c>
      <c r="E241" s="67" t="s">
        <v>58</v>
      </c>
      <c r="F241" s="68">
        <v>3.2</v>
      </c>
      <c r="G241" s="68">
        <v>3.2</v>
      </c>
      <c r="H241" s="69">
        <f t="shared" si="51"/>
        <v>0</v>
      </c>
      <c r="I241" s="25"/>
      <c r="J241" s="109">
        <f>+F241*1.2</f>
        <v>3.84</v>
      </c>
      <c r="K241" s="21">
        <v>2339</v>
      </c>
      <c r="L241" s="9"/>
      <c r="W241">
        <v>3.2</v>
      </c>
      <c r="X241">
        <v>1</v>
      </c>
      <c r="Y241">
        <f t="shared" si="40"/>
        <v>3.2</v>
      </c>
    </row>
    <row r="242" spans="1:25" ht="24" customHeight="1" thickBot="1" x14ac:dyDescent="0.25">
      <c r="A242" s="22">
        <f t="shared" si="52"/>
        <v>203</v>
      </c>
      <c r="B242" s="23" t="s">
        <v>275</v>
      </c>
      <c r="C242" s="24" t="s">
        <v>276</v>
      </c>
      <c r="D242" s="30" t="s">
        <v>23</v>
      </c>
      <c r="E242" s="31" t="s">
        <v>15</v>
      </c>
      <c r="F242" s="27">
        <v>2</v>
      </c>
      <c r="G242" s="27"/>
      <c r="H242" s="28"/>
      <c r="I242" s="25"/>
      <c r="J242" s="109"/>
      <c r="K242" s="21">
        <v>2339</v>
      </c>
      <c r="L242" s="9"/>
      <c r="W242">
        <v>2</v>
      </c>
      <c r="X242">
        <v>1</v>
      </c>
      <c r="Y242">
        <f t="shared" si="40"/>
        <v>2</v>
      </c>
    </row>
    <row r="243" spans="1:25" ht="83.4" thickBot="1" x14ac:dyDescent="0.25">
      <c r="A243" s="22">
        <f t="shared" si="52"/>
        <v>204</v>
      </c>
      <c r="B243" s="23" t="s">
        <v>277</v>
      </c>
      <c r="C243" s="24" t="s">
        <v>44</v>
      </c>
      <c r="D243" s="30" t="s">
        <v>23</v>
      </c>
      <c r="E243" s="31" t="s">
        <v>15</v>
      </c>
      <c r="F243" s="27">
        <v>9.1999999999999993</v>
      </c>
      <c r="G243" s="27">
        <v>8.75</v>
      </c>
      <c r="H243" s="28">
        <f t="shared" ref="H243:H248" si="53">IFERROR(+(F243/G243)-1,"--")</f>
        <v>5.1428571428571379E-2</v>
      </c>
      <c r="I243" s="25"/>
      <c r="J243" s="109"/>
      <c r="K243" s="21">
        <v>2339</v>
      </c>
      <c r="L243" s="9"/>
      <c r="W243">
        <v>9.1999999999999993</v>
      </c>
      <c r="X243">
        <v>1</v>
      </c>
      <c r="Y243">
        <f t="shared" si="40"/>
        <v>9.1999999999999993</v>
      </c>
    </row>
    <row r="244" spans="1:25" ht="83.4" thickBot="1" x14ac:dyDescent="0.25">
      <c r="A244" s="22">
        <f t="shared" si="52"/>
        <v>205</v>
      </c>
      <c r="B244" s="23" t="s">
        <v>439</v>
      </c>
      <c r="C244" s="24" t="s">
        <v>44</v>
      </c>
      <c r="D244" s="30" t="s">
        <v>23</v>
      </c>
      <c r="E244" s="31" t="s">
        <v>15</v>
      </c>
      <c r="F244" s="27">
        <v>12.1</v>
      </c>
      <c r="G244" s="27"/>
      <c r="H244" s="28" t="str">
        <f t="shared" ref="H244" si="54">IFERROR(+(F244/G244)-1,"--")</f>
        <v>--</v>
      </c>
      <c r="I244" s="25"/>
      <c r="J244" s="109"/>
      <c r="K244" s="21">
        <v>2339</v>
      </c>
      <c r="L244" s="9"/>
      <c r="W244">
        <v>12.1</v>
      </c>
      <c r="X244">
        <v>1</v>
      </c>
      <c r="Y244">
        <f t="shared" si="40"/>
        <v>12.1</v>
      </c>
    </row>
    <row r="245" spans="1:25" ht="24" customHeight="1" thickBot="1" x14ac:dyDescent="0.25">
      <c r="A245" s="22">
        <f t="shared" si="52"/>
        <v>206</v>
      </c>
      <c r="B245" s="23" t="s">
        <v>278</v>
      </c>
      <c r="C245" s="24" t="s">
        <v>36</v>
      </c>
      <c r="D245" s="111" t="s">
        <v>23</v>
      </c>
      <c r="E245" s="31" t="s">
        <v>58</v>
      </c>
      <c r="F245" s="27">
        <v>6</v>
      </c>
      <c r="G245" s="27">
        <v>2.52</v>
      </c>
      <c r="H245" s="28">
        <f t="shared" si="53"/>
        <v>1.3809523809523809</v>
      </c>
      <c r="I245" s="25"/>
      <c r="J245" s="109"/>
      <c r="K245" s="21">
        <v>2339</v>
      </c>
      <c r="L245" s="9"/>
      <c r="W245">
        <v>6</v>
      </c>
      <c r="X245">
        <v>1</v>
      </c>
      <c r="Y245">
        <f t="shared" si="40"/>
        <v>6</v>
      </c>
    </row>
    <row r="246" spans="1:25" ht="24" customHeight="1" thickBot="1" x14ac:dyDescent="0.25">
      <c r="A246" s="22">
        <f t="shared" si="52"/>
        <v>207</v>
      </c>
      <c r="B246" s="23" t="s">
        <v>279</v>
      </c>
      <c r="C246" s="24" t="s">
        <v>280</v>
      </c>
      <c r="D246" s="114">
        <v>80</v>
      </c>
      <c r="E246" s="31" t="s">
        <v>15</v>
      </c>
      <c r="F246" s="27">
        <v>65</v>
      </c>
      <c r="G246" s="27">
        <v>65</v>
      </c>
      <c r="H246" s="28">
        <f t="shared" si="53"/>
        <v>0</v>
      </c>
      <c r="I246" s="25"/>
      <c r="J246" s="109"/>
      <c r="K246" s="21">
        <v>2339</v>
      </c>
      <c r="L246" s="9"/>
      <c r="W246">
        <v>65</v>
      </c>
      <c r="X246">
        <v>1</v>
      </c>
      <c r="Y246">
        <f t="shared" si="40"/>
        <v>65</v>
      </c>
    </row>
    <row r="247" spans="1:25" ht="24" customHeight="1" thickBot="1" x14ac:dyDescent="0.25">
      <c r="A247" s="22">
        <f t="shared" si="52"/>
        <v>208</v>
      </c>
      <c r="B247" s="23" t="s">
        <v>281</v>
      </c>
      <c r="C247" s="24" t="s">
        <v>282</v>
      </c>
      <c r="D247" s="30" t="s">
        <v>23</v>
      </c>
      <c r="E247" s="31" t="s">
        <v>15</v>
      </c>
      <c r="F247" s="27">
        <v>15</v>
      </c>
      <c r="G247" s="27">
        <v>15</v>
      </c>
      <c r="H247" s="28">
        <f t="shared" si="53"/>
        <v>0</v>
      </c>
      <c r="I247" s="25"/>
      <c r="J247" s="109"/>
      <c r="K247" s="21">
        <v>2339</v>
      </c>
      <c r="L247" s="9"/>
      <c r="W247">
        <v>15</v>
      </c>
      <c r="X247">
        <v>1</v>
      </c>
      <c r="Y247">
        <f t="shared" si="40"/>
        <v>15</v>
      </c>
    </row>
    <row r="248" spans="1:25" ht="24" customHeight="1" thickBot="1" x14ac:dyDescent="0.25">
      <c r="A248" s="22">
        <f t="shared" si="52"/>
        <v>209</v>
      </c>
      <c r="B248" s="23" t="s">
        <v>283</v>
      </c>
      <c r="C248" s="24" t="s">
        <v>284</v>
      </c>
      <c r="D248" s="30" t="s">
        <v>23</v>
      </c>
      <c r="E248" s="31" t="s">
        <v>15</v>
      </c>
      <c r="F248" s="27">
        <v>50</v>
      </c>
      <c r="G248" s="27">
        <v>50</v>
      </c>
      <c r="H248" s="28">
        <f t="shared" si="53"/>
        <v>0</v>
      </c>
      <c r="I248" s="25"/>
      <c r="J248" s="109"/>
      <c r="K248" s="21">
        <v>2339</v>
      </c>
      <c r="L248" s="9"/>
      <c r="W248">
        <v>50</v>
      </c>
      <c r="X248">
        <v>1</v>
      </c>
      <c r="Y248">
        <f t="shared" si="40"/>
        <v>50</v>
      </c>
    </row>
    <row r="249" spans="1:25" ht="24" customHeight="1" thickBot="1" x14ac:dyDescent="0.25">
      <c r="A249" s="5" t="s">
        <v>285</v>
      </c>
      <c r="B249" s="163" t="s">
        <v>286</v>
      </c>
      <c r="C249" s="164"/>
      <c r="D249" s="164"/>
      <c r="E249" s="164"/>
      <c r="F249" s="164"/>
      <c r="G249" s="164"/>
      <c r="H249" s="165"/>
      <c r="I249" s="25"/>
      <c r="J249" s="109">
        <f t="shared" ref="J249:J258" si="55">+F249*1.2</f>
        <v>0</v>
      </c>
      <c r="K249" s="21">
        <v>2339</v>
      </c>
      <c r="L249" s="9"/>
      <c r="X249">
        <v>1</v>
      </c>
      <c r="Y249">
        <f t="shared" si="40"/>
        <v>0</v>
      </c>
    </row>
    <row r="250" spans="1:25" ht="24" customHeight="1" thickBot="1" x14ac:dyDescent="0.25">
      <c r="A250" s="10" t="s">
        <v>287</v>
      </c>
      <c r="B250" s="163" t="s">
        <v>288</v>
      </c>
      <c r="C250" s="164"/>
      <c r="D250" s="164"/>
      <c r="E250" s="164"/>
      <c r="F250" s="164"/>
      <c r="G250" s="164"/>
      <c r="H250" s="165"/>
      <c r="I250" s="25"/>
      <c r="J250" s="109">
        <f t="shared" si="55"/>
        <v>0</v>
      </c>
      <c r="K250" s="21">
        <v>2339</v>
      </c>
      <c r="L250" s="9"/>
      <c r="X250">
        <v>1</v>
      </c>
      <c r="Y250">
        <f t="shared" si="40"/>
        <v>0</v>
      </c>
    </row>
    <row r="251" spans="1:25" ht="31.5" customHeight="1" thickBot="1" x14ac:dyDescent="0.25">
      <c r="A251" s="48">
        <f>+A248+1</f>
        <v>210</v>
      </c>
      <c r="B251" s="49" t="s">
        <v>289</v>
      </c>
      <c r="C251" s="161" t="s">
        <v>509</v>
      </c>
      <c r="D251" s="111" t="s">
        <v>23</v>
      </c>
      <c r="E251" s="52" t="s">
        <v>26</v>
      </c>
      <c r="F251" s="53">
        <v>4.41</v>
      </c>
      <c r="G251" s="53">
        <v>4.41</v>
      </c>
      <c r="H251" s="54">
        <f t="shared" ref="H251:H252" si="56">IFERROR(+(F251/G251)-1,"--")</f>
        <v>0</v>
      </c>
      <c r="I251" s="25"/>
      <c r="J251" s="109">
        <f t="shared" si="55"/>
        <v>5.2919999999999998</v>
      </c>
      <c r="K251" s="21">
        <v>2339</v>
      </c>
      <c r="L251" s="9"/>
      <c r="W251">
        <v>4.41</v>
      </c>
      <c r="X251">
        <v>1</v>
      </c>
      <c r="Y251">
        <f t="shared" si="40"/>
        <v>4.41</v>
      </c>
    </row>
    <row r="252" spans="1:25" ht="33" customHeight="1" thickBot="1" x14ac:dyDescent="0.25">
      <c r="A252" s="76">
        <f>1+A251</f>
        <v>211</v>
      </c>
      <c r="B252" s="64" t="s">
        <v>290</v>
      </c>
      <c r="C252" s="162" t="s">
        <v>509</v>
      </c>
      <c r="D252" s="111" t="s">
        <v>23</v>
      </c>
      <c r="E252" s="67" t="s">
        <v>26</v>
      </c>
      <c r="F252" s="68">
        <v>6.48</v>
      </c>
      <c r="G252" s="68">
        <v>6.48</v>
      </c>
      <c r="H252" s="69">
        <f t="shared" si="56"/>
        <v>0</v>
      </c>
      <c r="I252" s="25"/>
      <c r="J252" s="109">
        <f t="shared" si="55"/>
        <v>7.7759999999999998</v>
      </c>
      <c r="K252" s="21">
        <v>2339</v>
      </c>
      <c r="L252" s="9"/>
      <c r="W252">
        <v>6.48</v>
      </c>
      <c r="X252">
        <v>1</v>
      </c>
      <c r="Y252">
        <f t="shared" si="40"/>
        <v>6.48</v>
      </c>
    </row>
    <row r="253" spans="1:25" ht="24" customHeight="1" thickBot="1" x14ac:dyDescent="0.25">
      <c r="A253" s="10" t="s">
        <v>291</v>
      </c>
      <c r="B253" s="163" t="s">
        <v>292</v>
      </c>
      <c r="C253" s="164"/>
      <c r="D253" s="164"/>
      <c r="E253" s="164"/>
      <c r="F253" s="164"/>
      <c r="G253" s="164"/>
      <c r="H253" s="165"/>
      <c r="I253" s="25"/>
      <c r="J253" s="109">
        <f t="shared" si="55"/>
        <v>0</v>
      </c>
      <c r="K253" s="21">
        <v>2339</v>
      </c>
      <c r="L253" s="9"/>
      <c r="X253">
        <v>1</v>
      </c>
      <c r="Y253">
        <f t="shared" si="40"/>
        <v>0</v>
      </c>
    </row>
    <row r="254" spans="1:25" ht="24" customHeight="1" thickBot="1" x14ac:dyDescent="0.25">
      <c r="A254" s="48">
        <f>1+A252</f>
        <v>212</v>
      </c>
      <c r="B254" s="49" t="s">
        <v>293</v>
      </c>
      <c r="C254" s="161" t="s">
        <v>610</v>
      </c>
      <c r="D254" s="111" t="s">
        <v>23</v>
      </c>
      <c r="E254" s="52" t="s">
        <v>58</v>
      </c>
      <c r="F254" s="53">
        <v>2.71</v>
      </c>
      <c r="G254" s="53">
        <v>2.71</v>
      </c>
      <c r="H254" s="54">
        <f t="shared" ref="H254:H255" si="57">IFERROR(+(F254/G254)-1,"--")</f>
        <v>0</v>
      </c>
      <c r="I254" s="25"/>
      <c r="J254" s="109">
        <f t="shared" si="55"/>
        <v>3.2519999999999998</v>
      </c>
      <c r="K254" s="21">
        <v>2339</v>
      </c>
      <c r="L254" s="9"/>
      <c r="W254">
        <v>2.71</v>
      </c>
      <c r="X254">
        <v>1</v>
      </c>
      <c r="Y254">
        <f t="shared" si="40"/>
        <v>2.71</v>
      </c>
    </row>
    <row r="255" spans="1:25" ht="24" customHeight="1" thickBot="1" x14ac:dyDescent="0.25">
      <c r="A255" s="76">
        <f>1+A254</f>
        <v>213</v>
      </c>
      <c r="B255" s="64" t="s">
        <v>294</v>
      </c>
      <c r="C255" s="162" t="s">
        <v>610</v>
      </c>
      <c r="D255" s="111" t="s">
        <v>23</v>
      </c>
      <c r="E255" s="67" t="s">
        <v>251</v>
      </c>
      <c r="F255" s="68">
        <v>1.35</v>
      </c>
      <c r="G255" s="68">
        <v>1.35</v>
      </c>
      <c r="H255" s="69">
        <f t="shared" si="57"/>
        <v>0</v>
      </c>
      <c r="I255" s="25"/>
      <c r="J255" s="109">
        <f t="shared" si="55"/>
        <v>1.62</v>
      </c>
      <c r="K255" s="21">
        <v>2339</v>
      </c>
      <c r="L255" s="9"/>
      <c r="W255">
        <v>1.35</v>
      </c>
      <c r="X255">
        <v>1</v>
      </c>
      <c r="Y255">
        <f t="shared" si="40"/>
        <v>1.35</v>
      </c>
    </row>
    <row r="256" spans="1:25" ht="24" customHeight="1" thickBot="1" x14ac:dyDescent="0.25">
      <c r="A256" s="10" t="s">
        <v>295</v>
      </c>
      <c r="B256" s="163" t="s">
        <v>296</v>
      </c>
      <c r="C256" s="164"/>
      <c r="D256" s="164"/>
      <c r="E256" s="164"/>
      <c r="F256" s="164"/>
      <c r="G256" s="164"/>
      <c r="H256" s="165"/>
      <c r="I256" s="25"/>
      <c r="J256" s="109">
        <f t="shared" si="55"/>
        <v>0</v>
      </c>
      <c r="K256" s="21">
        <v>2339</v>
      </c>
      <c r="L256" s="9"/>
      <c r="X256">
        <v>1</v>
      </c>
      <c r="Y256">
        <f t="shared" si="40"/>
        <v>0</v>
      </c>
    </row>
    <row r="257" spans="1:25" ht="46.5" customHeight="1" thickBot="1" x14ac:dyDescent="0.25">
      <c r="A257" s="48">
        <f>1+A255</f>
        <v>214</v>
      </c>
      <c r="B257" s="49" t="s">
        <v>297</v>
      </c>
      <c r="C257" s="161" t="s">
        <v>509</v>
      </c>
      <c r="D257" s="111" t="s">
        <v>23</v>
      </c>
      <c r="E257" s="52" t="s">
        <v>26</v>
      </c>
      <c r="F257" s="53">
        <v>5.36</v>
      </c>
      <c r="G257" s="53">
        <v>5.36</v>
      </c>
      <c r="H257" s="54">
        <f t="shared" ref="H257:H260" si="58">IFERROR(+(F257/G257)-1,"--")</f>
        <v>0</v>
      </c>
      <c r="I257" s="25"/>
      <c r="J257" s="109">
        <f t="shared" si="55"/>
        <v>6.4320000000000004</v>
      </c>
      <c r="K257" s="21">
        <v>2339</v>
      </c>
      <c r="L257" s="9"/>
      <c r="W257">
        <v>5.36</v>
      </c>
      <c r="X257">
        <v>1</v>
      </c>
      <c r="Y257">
        <f t="shared" si="40"/>
        <v>5.36</v>
      </c>
    </row>
    <row r="258" spans="1:25" ht="46.5" customHeight="1" thickBot="1" x14ac:dyDescent="0.25">
      <c r="A258" s="76">
        <f t="shared" ref="A258:A260" si="59">1+A257</f>
        <v>215</v>
      </c>
      <c r="B258" s="64" t="s">
        <v>298</v>
      </c>
      <c r="C258" s="162" t="s">
        <v>509</v>
      </c>
      <c r="D258" s="111" t="s">
        <v>23</v>
      </c>
      <c r="E258" s="67" t="s">
        <v>26</v>
      </c>
      <c r="F258" s="68">
        <v>7.5</v>
      </c>
      <c r="G258" s="68">
        <v>7.5</v>
      </c>
      <c r="H258" s="69">
        <f t="shared" si="58"/>
        <v>0</v>
      </c>
      <c r="I258" s="25"/>
      <c r="J258" s="109">
        <f t="shared" si="55"/>
        <v>9</v>
      </c>
      <c r="K258" s="21">
        <v>2339</v>
      </c>
      <c r="L258" s="9"/>
      <c r="W258">
        <v>7.5</v>
      </c>
      <c r="X258">
        <v>1</v>
      </c>
      <c r="Y258">
        <f t="shared" si="40"/>
        <v>7.5</v>
      </c>
    </row>
    <row r="259" spans="1:25" ht="46.5" customHeight="1" thickBot="1" x14ac:dyDescent="0.25">
      <c r="A259" s="76">
        <f t="shared" si="59"/>
        <v>216</v>
      </c>
      <c r="B259" s="23" t="s">
        <v>299</v>
      </c>
      <c r="C259" s="159" t="s">
        <v>509</v>
      </c>
      <c r="D259" s="111" t="s">
        <v>23</v>
      </c>
      <c r="E259" s="31" t="s">
        <v>26</v>
      </c>
      <c r="F259" s="27">
        <v>9.636000000000001</v>
      </c>
      <c r="G259" s="27">
        <v>8.76</v>
      </c>
      <c r="H259" s="28">
        <f t="shared" si="58"/>
        <v>0.10000000000000009</v>
      </c>
      <c r="I259" s="25"/>
      <c r="J259" s="109"/>
      <c r="K259" s="21">
        <v>2339</v>
      </c>
      <c r="L259" s="9"/>
      <c r="W259">
        <v>9.636000000000001</v>
      </c>
      <c r="X259">
        <v>1</v>
      </c>
      <c r="Y259">
        <f t="shared" si="40"/>
        <v>9.636000000000001</v>
      </c>
    </row>
    <row r="260" spans="1:25" ht="46.5" customHeight="1" thickBot="1" x14ac:dyDescent="0.25">
      <c r="A260" s="76">
        <f t="shared" si="59"/>
        <v>217</v>
      </c>
      <c r="B260" s="23" t="s">
        <v>300</v>
      </c>
      <c r="C260" s="159" t="s">
        <v>509</v>
      </c>
      <c r="D260" s="111" t="s">
        <v>23</v>
      </c>
      <c r="E260" s="31" t="s">
        <v>26</v>
      </c>
      <c r="F260" s="27">
        <v>11</v>
      </c>
      <c r="G260" s="27">
        <v>10</v>
      </c>
      <c r="H260" s="28">
        <f t="shared" si="58"/>
        <v>0.10000000000000009</v>
      </c>
      <c r="I260" s="25"/>
      <c r="J260" s="109"/>
      <c r="K260" s="21">
        <v>2339</v>
      </c>
      <c r="L260" s="9"/>
      <c r="W260">
        <v>11</v>
      </c>
      <c r="X260">
        <v>1</v>
      </c>
      <c r="Y260">
        <f t="shared" si="40"/>
        <v>11</v>
      </c>
    </row>
    <row r="261" spans="1:25" ht="24" customHeight="1" thickBot="1" x14ac:dyDescent="0.25">
      <c r="A261" s="10" t="s">
        <v>301</v>
      </c>
      <c r="B261" s="163" t="s">
        <v>302</v>
      </c>
      <c r="C261" s="164"/>
      <c r="D261" s="164"/>
      <c r="E261" s="164"/>
      <c r="F261" s="164"/>
      <c r="G261" s="164"/>
      <c r="H261" s="165"/>
      <c r="I261" s="25"/>
      <c r="J261" s="109">
        <f t="shared" ref="J261:J269" si="60">+F261*1.2</f>
        <v>0</v>
      </c>
      <c r="K261" s="21">
        <v>2339</v>
      </c>
      <c r="L261" s="9"/>
      <c r="X261">
        <v>1</v>
      </c>
      <c r="Y261">
        <f t="shared" si="40"/>
        <v>0</v>
      </c>
    </row>
    <row r="262" spans="1:25" ht="49.5" customHeight="1" thickBot="1" x14ac:dyDescent="0.25">
      <c r="A262" s="101">
        <f>+A260+1</f>
        <v>218</v>
      </c>
      <c r="B262" s="71" t="s">
        <v>449</v>
      </c>
      <c r="C262" s="72" t="s">
        <v>303</v>
      </c>
      <c r="D262" s="111" t="s">
        <v>23</v>
      </c>
      <c r="E262" s="73" t="s">
        <v>304</v>
      </c>
      <c r="F262" s="74">
        <v>7.58</v>
      </c>
      <c r="G262" s="74">
        <v>7.58</v>
      </c>
      <c r="H262" s="75">
        <f>IFERROR(+(F262/G262)-1,"--")</f>
        <v>0</v>
      </c>
      <c r="I262" s="25"/>
      <c r="J262" s="109">
        <f t="shared" si="60"/>
        <v>9.0960000000000001</v>
      </c>
      <c r="K262" s="21">
        <v>2339</v>
      </c>
      <c r="L262" s="9"/>
      <c r="W262">
        <v>7.58</v>
      </c>
      <c r="X262">
        <v>1</v>
      </c>
      <c r="Y262">
        <f t="shared" ref="Y262:Y325" si="61">W262*X262</f>
        <v>7.58</v>
      </c>
    </row>
    <row r="263" spans="1:25" ht="24" customHeight="1" thickBot="1" x14ac:dyDescent="0.25">
      <c r="A263" s="10" t="s">
        <v>305</v>
      </c>
      <c r="B263" s="163" t="s">
        <v>306</v>
      </c>
      <c r="C263" s="164"/>
      <c r="D263" s="164"/>
      <c r="E263" s="164"/>
      <c r="F263" s="164"/>
      <c r="G263" s="164"/>
      <c r="H263" s="165"/>
      <c r="I263" s="25"/>
      <c r="J263" s="109">
        <f t="shared" si="60"/>
        <v>0</v>
      </c>
      <c r="K263" s="21">
        <v>2339</v>
      </c>
      <c r="L263" s="9"/>
      <c r="X263">
        <v>1</v>
      </c>
      <c r="Y263">
        <f t="shared" si="61"/>
        <v>0</v>
      </c>
    </row>
    <row r="264" spans="1:25" ht="24" customHeight="1" thickBot="1" x14ac:dyDescent="0.25">
      <c r="A264" s="101">
        <f>1+A262</f>
        <v>219</v>
      </c>
      <c r="B264" s="71" t="s">
        <v>307</v>
      </c>
      <c r="C264" s="72" t="s">
        <v>308</v>
      </c>
      <c r="D264" s="111" t="s">
        <v>23</v>
      </c>
      <c r="E264" s="73" t="s">
        <v>26</v>
      </c>
      <c r="F264" s="74">
        <v>1.42</v>
      </c>
      <c r="G264" s="74">
        <v>1.42</v>
      </c>
      <c r="H264" s="75">
        <f t="shared" ref="H264:H265" si="62">IFERROR(+(F264/G264)-1,"--")</f>
        <v>0</v>
      </c>
      <c r="I264" s="25"/>
      <c r="J264" s="109">
        <f t="shared" si="60"/>
        <v>1.704</v>
      </c>
      <c r="K264" s="21">
        <v>2339</v>
      </c>
      <c r="L264" s="9"/>
      <c r="W264">
        <v>1.42</v>
      </c>
      <c r="X264">
        <v>1</v>
      </c>
      <c r="Y264">
        <f t="shared" si="61"/>
        <v>1.42</v>
      </c>
    </row>
    <row r="265" spans="1:25" ht="24" customHeight="1" thickBot="1" x14ac:dyDescent="0.25">
      <c r="A265" s="76">
        <f>1+A264</f>
        <v>220</v>
      </c>
      <c r="B265" s="64" t="s">
        <v>309</v>
      </c>
      <c r="C265" s="65" t="s">
        <v>310</v>
      </c>
      <c r="D265" s="111" t="s">
        <v>23</v>
      </c>
      <c r="E265" s="67" t="s">
        <v>26</v>
      </c>
      <c r="F265" s="68">
        <v>3.8</v>
      </c>
      <c r="G265" s="68">
        <v>3.8</v>
      </c>
      <c r="H265" s="69">
        <f t="shared" si="62"/>
        <v>0</v>
      </c>
      <c r="I265" s="25"/>
      <c r="J265" s="109">
        <f t="shared" si="60"/>
        <v>4.5599999999999996</v>
      </c>
      <c r="K265" s="21">
        <v>2339</v>
      </c>
      <c r="L265" s="9"/>
      <c r="W265">
        <v>3.8</v>
      </c>
      <c r="X265">
        <v>1</v>
      </c>
      <c r="Y265">
        <f t="shared" si="61"/>
        <v>3.8</v>
      </c>
    </row>
    <row r="266" spans="1:25" ht="24" customHeight="1" thickBot="1" x14ac:dyDescent="0.25">
      <c r="A266" s="10" t="s">
        <v>311</v>
      </c>
      <c r="B266" s="163" t="s">
        <v>312</v>
      </c>
      <c r="C266" s="164"/>
      <c r="D266" s="164"/>
      <c r="E266" s="164"/>
      <c r="F266" s="164"/>
      <c r="G266" s="164"/>
      <c r="H266" s="165"/>
      <c r="I266" s="25"/>
      <c r="J266" s="109">
        <f t="shared" si="60"/>
        <v>0</v>
      </c>
      <c r="K266" s="21">
        <v>2339</v>
      </c>
      <c r="L266" s="9"/>
      <c r="X266">
        <v>1</v>
      </c>
      <c r="Y266">
        <f t="shared" si="61"/>
        <v>0</v>
      </c>
    </row>
    <row r="267" spans="1:25" ht="24" customHeight="1" thickBot="1" x14ac:dyDescent="0.25">
      <c r="A267" s="48">
        <f>A265+1</f>
        <v>221</v>
      </c>
      <c r="B267" s="49" t="s">
        <v>313</v>
      </c>
      <c r="C267" s="50" t="s">
        <v>314</v>
      </c>
      <c r="D267" s="111" t="s">
        <v>23</v>
      </c>
      <c r="E267" s="52" t="s">
        <v>58</v>
      </c>
      <c r="F267" s="53">
        <v>3.07</v>
      </c>
      <c r="G267" s="53">
        <v>3.07</v>
      </c>
      <c r="H267" s="54">
        <f t="shared" ref="H267:H269" si="63">IFERROR(+(F267/G267)-1,"--")</f>
        <v>0</v>
      </c>
      <c r="I267" s="25"/>
      <c r="J267" s="109">
        <f t="shared" si="60"/>
        <v>3.6839999999999997</v>
      </c>
      <c r="K267" s="21">
        <v>2339</v>
      </c>
      <c r="L267" s="9"/>
      <c r="W267">
        <v>3.07</v>
      </c>
      <c r="X267">
        <v>1</v>
      </c>
      <c r="Y267">
        <f t="shared" si="61"/>
        <v>3.07</v>
      </c>
    </row>
    <row r="268" spans="1:25" ht="24" customHeight="1" thickBot="1" x14ac:dyDescent="0.25">
      <c r="A268" s="76">
        <f t="shared" ref="A268:A269" si="64">A267+1</f>
        <v>222</v>
      </c>
      <c r="B268" s="64" t="s">
        <v>315</v>
      </c>
      <c r="C268" s="65" t="s">
        <v>510</v>
      </c>
      <c r="D268" s="111" t="s">
        <v>23</v>
      </c>
      <c r="E268" s="67" t="s">
        <v>58</v>
      </c>
      <c r="F268" s="68">
        <v>10.48</v>
      </c>
      <c r="G268" s="68">
        <v>13.97</v>
      </c>
      <c r="H268" s="69">
        <f t="shared" si="63"/>
        <v>-0.24982104509663561</v>
      </c>
      <c r="I268" s="25"/>
      <c r="J268" s="109">
        <f t="shared" si="60"/>
        <v>12.576000000000001</v>
      </c>
      <c r="K268" s="21">
        <v>2339</v>
      </c>
      <c r="L268" s="9"/>
      <c r="W268">
        <v>10.48</v>
      </c>
      <c r="X268">
        <v>1</v>
      </c>
      <c r="Y268">
        <f t="shared" si="61"/>
        <v>10.48</v>
      </c>
    </row>
    <row r="269" spans="1:25" ht="33.75" customHeight="1" thickBot="1" x14ac:dyDescent="0.25">
      <c r="A269" s="93">
        <f t="shared" si="64"/>
        <v>223</v>
      </c>
      <c r="B269" s="106" t="s">
        <v>316</v>
      </c>
      <c r="C269" s="57" t="s">
        <v>36</v>
      </c>
      <c r="D269" s="112" t="s">
        <v>23</v>
      </c>
      <c r="E269" s="59" t="s">
        <v>58</v>
      </c>
      <c r="F269" s="60">
        <v>8.65</v>
      </c>
      <c r="G269" s="60">
        <v>8.65</v>
      </c>
      <c r="H269" s="61">
        <f t="shared" si="63"/>
        <v>0</v>
      </c>
      <c r="I269" s="25"/>
      <c r="J269" s="109">
        <f t="shared" si="60"/>
        <v>10.38</v>
      </c>
      <c r="K269" s="21">
        <v>2339</v>
      </c>
      <c r="L269" s="9"/>
      <c r="W269">
        <v>8.65</v>
      </c>
      <c r="X269">
        <v>1</v>
      </c>
      <c r="Y269">
        <f t="shared" si="61"/>
        <v>8.65</v>
      </c>
    </row>
    <row r="270" spans="1:25" ht="21" customHeight="1" thickBot="1" x14ac:dyDescent="0.25">
      <c r="A270" s="10" t="s">
        <v>317</v>
      </c>
      <c r="B270" s="167" t="s">
        <v>318</v>
      </c>
      <c r="C270" s="168"/>
      <c r="D270" s="168"/>
      <c r="E270" s="168"/>
      <c r="F270" s="168"/>
      <c r="G270" s="168"/>
      <c r="H270" s="168"/>
      <c r="I270" s="168"/>
      <c r="J270" s="169"/>
      <c r="K270" s="8"/>
      <c r="L270" s="9"/>
      <c r="Y270">
        <f t="shared" si="61"/>
        <v>0</v>
      </c>
    </row>
    <row r="271" spans="1:25" ht="21" customHeight="1" thickBot="1" x14ac:dyDescent="0.25">
      <c r="A271" s="1" t="s">
        <v>319</v>
      </c>
      <c r="B271" s="163" t="s">
        <v>320</v>
      </c>
      <c r="C271" s="164"/>
      <c r="D271" s="164"/>
      <c r="E271" s="164"/>
      <c r="F271" s="164"/>
      <c r="G271" s="164"/>
      <c r="H271" s="165"/>
      <c r="I271" s="25"/>
      <c r="K271" s="8"/>
      <c r="L271" s="9"/>
      <c r="Y271">
        <f t="shared" si="61"/>
        <v>0</v>
      </c>
    </row>
    <row r="272" spans="1:25" ht="21" customHeight="1" x14ac:dyDescent="0.2">
      <c r="A272" s="101">
        <f>1+A269</f>
        <v>224</v>
      </c>
      <c r="B272" s="15" t="s">
        <v>321</v>
      </c>
      <c r="C272" s="16" t="s">
        <v>520</v>
      </c>
      <c r="D272" s="19">
        <v>16</v>
      </c>
      <c r="E272" s="52" t="s">
        <v>58</v>
      </c>
      <c r="F272" s="53">
        <v>1.55</v>
      </c>
      <c r="G272" s="53">
        <v>1.55</v>
      </c>
      <c r="H272" s="54">
        <f t="shared" ref="H272:H284" si="65">IFERROR(+(F272/G272)-1,"--")</f>
        <v>0</v>
      </c>
      <c r="I272" s="25"/>
      <c r="K272" s="54" t="s">
        <v>322</v>
      </c>
      <c r="L272" s="9"/>
      <c r="W272">
        <v>1.55</v>
      </c>
      <c r="X272">
        <v>1.06</v>
      </c>
      <c r="Y272">
        <f t="shared" si="61"/>
        <v>1.6430000000000002</v>
      </c>
    </row>
    <row r="273" spans="1:25" ht="42.75" customHeight="1" x14ac:dyDescent="0.2">
      <c r="A273" s="22">
        <f t="shared" ref="A273:A277" si="66">1+A272</f>
        <v>225</v>
      </c>
      <c r="B273" s="23" t="s">
        <v>323</v>
      </c>
      <c r="C273" s="159" t="s">
        <v>324</v>
      </c>
      <c r="D273" s="27">
        <v>25</v>
      </c>
      <c r="E273" s="31" t="s">
        <v>58</v>
      </c>
      <c r="F273" s="27">
        <v>0.61</v>
      </c>
      <c r="G273" s="27">
        <v>0.61</v>
      </c>
      <c r="H273" s="28">
        <f t="shared" si="65"/>
        <v>0</v>
      </c>
      <c r="I273" s="25"/>
      <c r="K273" s="54" t="s">
        <v>322</v>
      </c>
      <c r="L273" s="9"/>
      <c r="W273">
        <v>0.61</v>
      </c>
      <c r="X273">
        <v>1.06</v>
      </c>
      <c r="Y273">
        <f t="shared" si="61"/>
        <v>0.64660000000000006</v>
      </c>
    </row>
    <row r="274" spans="1:25" ht="20.25" customHeight="1" x14ac:dyDescent="0.2">
      <c r="A274" s="22">
        <f t="shared" si="66"/>
        <v>226</v>
      </c>
      <c r="B274" s="23" t="s">
        <v>325</v>
      </c>
      <c r="C274" s="24" t="s">
        <v>521</v>
      </c>
      <c r="D274" s="27">
        <v>10</v>
      </c>
      <c r="E274" s="31" t="s">
        <v>58</v>
      </c>
      <c r="F274" s="27">
        <v>1.2</v>
      </c>
      <c r="G274" s="27">
        <v>1.2</v>
      </c>
      <c r="H274" s="28">
        <f t="shared" si="65"/>
        <v>0</v>
      </c>
      <c r="I274" s="25"/>
      <c r="K274" s="54" t="s">
        <v>322</v>
      </c>
      <c r="L274" s="9"/>
      <c r="W274">
        <v>1.2</v>
      </c>
      <c r="X274">
        <v>1.06</v>
      </c>
      <c r="Y274">
        <f t="shared" si="61"/>
        <v>1.272</v>
      </c>
    </row>
    <row r="275" spans="1:25" ht="42.75" customHeight="1" x14ac:dyDescent="0.2">
      <c r="A275" s="22">
        <f t="shared" si="66"/>
        <v>227</v>
      </c>
      <c r="B275" s="23" t="s">
        <v>326</v>
      </c>
      <c r="C275" s="24" t="s">
        <v>611</v>
      </c>
      <c r="D275" s="27">
        <v>3</v>
      </c>
      <c r="E275" s="31" t="s">
        <v>58</v>
      </c>
      <c r="F275" s="27">
        <v>2.42</v>
      </c>
      <c r="G275" s="27">
        <v>2.42</v>
      </c>
      <c r="H275" s="28">
        <f t="shared" si="65"/>
        <v>0</v>
      </c>
      <c r="I275" s="25"/>
      <c r="K275" s="54" t="s">
        <v>322</v>
      </c>
      <c r="L275" s="9"/>
      <c r="W275">
        <v>2.42</v>
      </c>
      <c r="X275">
        <v>1.06</v>
      </c>
      <c r="Y275">
        <f t="shared" si="61"/>
        <v>2.5651999999999999</v>
      </c>
    </row>
    <row r="276" spans="1:25" ht="19.5" customHeight="1" x14ac:dyDescent="0.2">
      <c r="A276" s="22">
        <f t="shared" si="66"/>
        <v>228</v>
      </c>
      <c r="B276" s="23" t="s">
        <v>327</v>
      </c>
      <c r="C276" s="24" t="s">
        <v>522</v>
      </c>
      <c r="D276" s="27">
        <v>60</v>
      </c>
      <c r="E276" s="31" t="s">
        <v>58</v>
      </c>
      <c r="F276" s="27">
        <v>1.42</v>
      </c>
      <c r="G276" s="27">
        <v>1.42</v>
      </c>
      <c r="H276" s="28">
        <f t="shared" si="65"/>
        <v>0</v>
      </c>
      <c r="I276" s="25"/>
      <c r="K276" s="54" t="s">
        <v>322</v>
      </c>
      <c r="L276" s="9"/>
      <c r="W276">
        <v>1.42</v>
      </c>
      <c r="X276">
        <v>1.06</v>
      </c>
      <c r="Y276">
        <f t="shared" si="61"/>
        <v>1.5052000000000001</v>
      </c>
    </row>
    <row r="277" spans="1:25" ht="42.75" customHeight="1" x14ac:dyDescent="0.2">
      <c r="A277" s="22">
        <f t="shared" si="66"/>
        <v>229</v>
      </c>
      <c r="B277" s="23" t="s">
        <v>328</v>
      </c>
      <c r="C277" s="159" t="s">
        <v>329</v>
      </c>
      <c r="D277" s="27">
        <v>16</v>
      </c>
      <c r="E277" s="31" t="s">
        <v>58</v>
      </c>
      <c r="F277" s="27">
        <v>2.69</v>
      </c>
      <c r="G277" s="27">
        <v>2.69</v>
      </c>
      <c r="H277" s="28">
        <f t="shared" si="65"/>
        <v>0</v>
      </c>
      <c r="I277" s="25"/>
      <c r="K277" s="54" t="s">
        <v>322</v>
      </c>
      <c r="L277" s="9"/>
      <c r="W277">
        <v>2.69</v>
      </c>
      <c r="X277">
        <v>1.06</v>
      </c>
      <c r="Y277">
        <f t="shared" si="61"/>
        <v>2.8513999999999999</v>
      </c>
    </row>
    <row r="278" spans="1:25" ht="18.75" customHeight="1" x14ac:dyDescent="0.2">
      <c r="A278" s="22">
        <f t="shared" ref="A278:A284" si="67">A277+1</f>
        <v>230</v>
      </c>
      <c r="B278" s="23" t="s">
        <v>330</v>
      </c>
      <c r="C278" s="24" t="s">
        <v>523</v>
      </c>
      <c r="D278" s="27">
        <v>15</v>
      </c>
      <c r="E278" s="31" t="s">
        <v>58</v>
      </c>
      <c r="F278" s="27">
        <v>1.5</v>
      </c>
      <c r="G278" s="27">
        <v>2.2599999999999998</v>
      </c>
      <c r="H278" s="28">
        <f t="shared" si="65"/>
        <v>-0.33628318584070793</v>
      </c>
      <c r="I278" s="25"/>
      <c r="K278" s="54" t="s">
        <v>322</v>
      </c>
      <c r="L278" s="9">
        <v>2.2599999999999998</v>
      </c>
      <c r="W278">
        <v>1.5</v>
      </c>
      <c r="X278">
        <v>1.06</v>
      </c>
      <c r="Y278">
        <f t="shared" si="61"/>
        <v>1.59</v>
      </c>
    </row>
    <row r="279" spans="1:25" ht="21.75" customHeight="1" x14ac:dyDescent="0.2">
      <c r="A279" s="22">
        <f t="shared" si="67"/>
        <v>231</v>
      </c>
      <c r="B279" s="23" t="s">
        <v>331</v>
      </c>
      <c r="C279" s="24" t="s">
        <v>524</v>
      </c>
      <c r="D279" s="27">
        <v>4</v>
      </c>
      <c r="E279" s="31" t="s">
        <v>58</v>
      </c>
      <c r="F279" s="27">
        <v>2.46</v>
      </c>
      <c r="G279" s="27">
        <v>2.46</v>
      </c>
      <c r="H279" s="28">
        <f t="shared" si="65"/>
        <v>0</v>
      </c>
      <c r="I279" s="25"/>
      <c r="K279" s="54" t="s">
        <v>322</v>
      </c>
      <c r="L279" s="9"/>
      <c r="W279">
        <v>2.46</v>
      </c>
      <c r="X279">
        <v>1.06</v>
      </c>
      <c r="Y279">
        <f t="shared" si="61"/>
        <v>2.6076000000000001</v>
      </c>
    </row>
    <row r="280" spans="1:25" ht="42.75" customHeight="1" x14ac:dyDescent="0.2">
      <c r="A280" s="22">
        <f t="shared" si="67"/>
        <v>232</v>
      </c>
      <c r="B280" s="23" t="s">
        <v>332</v>
      </c>
      <c r="C280" s="159" t="s">
        <v>333</v>
      </c>
      <c r="D280" s="27">
        <v>2</v>
      </c>
      <c r="E280" s="31" t="s">
        <v>58</v>
      </c>
      <c r="F280" s="27">
        <v>2.2599999999999998</v>
      </c>
      <c r="G280" s="27">
        <v>2.2599999999999998</v>
      </c>
      <c r="H280" s="28">
        <f t="shared" si="65"/>
        <v>0</v>
      </c>
      <c r="I280" s="25"/>
      <c r="K280" s="54" t="s">
        <v>322</v>
      </c>
      <c r="L280" s="9"/>
      <c r="W280">
        <v>2.2599999999999998</v>
      </c>
      <c r="X280">
        <v>1.06</v>
      </c>
      <c r="Y280">
        <f t="shared" si="61"/>
        <v>2.3956</v>
      </c>
    </row>
    <row r="281" spans="1:25" ht="20.25" customHeight="1" x14ac:dyDescent="0.2">
      <c r="A281" s="22">
        <f t="shared" si="67"/>
        <v>233</v>
      </c>
      <c r="B281" s="23" t="s">
        <v>334</v>
      </c>
      <c r="C281" s="24" t="s">
        <v>335</v>
      </c>
      <c r="D281" s="27">
        <v>10</v>
      </c>
      <c r="E281" s="31" t="s">
        <v>58</v>
      </c>
      <c r="F281" s="27">
        <v>5.54</v>
      </c>
      <c r="G281" s="27">
        <v>7.02</v>
      </c>
      <c r="H281" s="28">
        <f t="shared" si="65"/>
        <v>-0.21082621082621078</v>
      </c>
      <c r="I281" s="25"/>
      <c r="K281" s="54" t="s">
        <v>322</v>
      </c>
      <c r="L281" s="9">
        <v>7.02</v>
      </c>
      <c r="W281">
        <v>5.54</v>
      </c>
      <c r="X281">
        <v>1.06</v>
      </c>
      <c r="Y281">
        <f t="shared" si="61"/>
        <v>5.8724000000000007</v>
      </c>
    </row>
    <row r="282" spans="1:25" ht="21.75" customHeight="1" x14ac:dyDescent="0.2">
      <c r="A282" s="22">
        <f t="shared" si="67"/>
        <v>234</v>
      </c>
      <c r="B282" s="23" t="s">
        <v>336</v>
      </c>
      <c r="C282" s="24" t="s">
        <v>525</v>
      </c>
      <c r="D282" s="27">
        <v>1</v>
      </c>
      <c r="E282" s="31" t="s">
        <v>15</v>
      </c>
      <c r="F282" s="27">
        <v>4.72</v>
      </c>
      <c r="G282" s="27">
        <v>4.72</v>
      </c>
      <c r="H282" s="28">
        <f t="shared" si="65"/>
        <v>0</v>
      </c>
      <c r="I282" s="25"/>
      <c r="K282" s="54" t="s">
        <v>322</v>
      </c>
      <c r="L282" s="9"/>
      <c r="W282">
        <v>4.72</v>
      </c>
      <c r="X282">
        <v>1.06</v>
      </c>
      <c r="Y282">
        <f t="shared" si="61"/>
        <v>5.0031999999999996</v>
      </c>
    </row>
    <row r="283" spans="1:25" ht="34.5" customHeight="1" x14ac:dyDescent="0.2">
      <c r="A283" s="22">
        <f t="shared" si="67"/>
        <v>235</v>
      </c>
      <c r="B283" s="23" t="s">
        <v>337</v>
      </c>
      <c r="C283" s="24" t="s">
        <v>338</v>
      </c>
      <c r="D283" s="27">
        <v>25</v>
      </c>
      <c r="E283" s="31" t="s">
        <v>15</v>
      </c>
      <c r="F283" s="27">
        <v>5.82</v>
      </c>
      <c r="G283" s="27">
        <v>5.82</v>
      </c>
      <c r="H283" s="28">
        <f t="shared" si="65"/>
        <v>0</v>
      </c>
      <c r="I283" s="25"/>
      <c r="K283" s="54" t="s">
        <v>322</v>
      </c>
      <c r="L283" s="9"/>
      <c r="W283">
        <v>5.82</v>
      </c>
      <c r="X283">
        <v>1.06</v>
      </c>
      <c r="Y283">
        <f t="shared" si="61"/>
        <v>6.1692000000000009</v>
      </c>
    </row>
    <row r="284" spans="1:25" ht="21.75" customHeight="1" thickBot="1" x14ac:dyDescent="0.25">
      <c r="A284" s="22">
        <f t="shared" si="67"/>
        <v>236</v>
      </c>
      <c r="B284" s="23" t="s">
        <v>339</v>
      </c>
      <c r="C284" s="24" t="s">
        <v>526</v>
      </c>
      <c r="D284" s="27">
        <v>1</v>
      </c>
      <c r="E284" s="31" t="s">
        <v>15</v>
      </c>
      <c r="F284" s="27">
        <v>3.64</v>
      </c>
      <c r="G284" s="27">
        <v>3.64</v>
      </c>
      <c r="H284" s="28">
        <f t="shared" si="65"/>
        <v>0</v>
      </c>
      <c r="I284" s="25"/>
      <c r="K284" s="54" t="s">
        <v>322</v>
      </c>
      <c r="L284" s="9"/>
      <c r="W284">
        <v>3.64</v>
      </c>
      <c r="X284">
        <v>1.06</v>
      </c>
      <c r="Y284">
        <f t="shared" si="61"/>
        <v>3.8584000000000005</v>
      </c>
    </row>
    <row r="285" spans="1:25" ht="23.25" customHeight="1" thickBot="1" x14ac:dyDescent="0.25">
      <c r="A285" s="1" t="s">
        <v>340</v>
      </c>
      <c r="B285" s="163" t="s">
        <v>341</v>
      </c>
      <c r="C285" s="164"/>
      <c r="D285" s="164"/>
      <c r="E285" s="164"/>
      <c r="F285" s="164"/>
      <c r="G285" s="164"/>
      <c r="H285" s="165"/>
      <c r="I285" s="25"/>
      <c r="K285" s="54" t="s">
        <v>322</v>
      </c>
      <c r="L285" s="9"/>
    </row>
    <row r="286" spans="1:25" ht="21" customHeight="1" x14ac:dyDescent="0.2">
      <c r="A286" s="22">
        <f>A284+1</f>
        <v>237</v>
      </c>
      <c r="B286" s="86" t="s">
        <v>342</v>
      </c>
      <c r="C286" s="24" t="s">
        <v>527</v>
      </c>
      <c r="D286" s="111" t="s">
        <v>23</v>
      </c>
      <c r="E286" s="24" t="s">
        <v>58</v>
      </c>
      <c r="F286" s="27">
        <v>2.5</v>
      </c>
      <c r="G286" s="27">
        <v>3.18</v>
      </c>
      <c r="H286" s="28">
        <f t="shared" ref="H286:H295" si="68">IFERROR(+(F286/G286)-1,"--")</f>
        <v>-0.21383647798742145</v>
      </c>
      <c r="I286" s="25"/>
      <c r="K286" s="54" t="s">
        <v>322</v>
      </c>
      <c r="L286" s="9">
        <v>3.18</v>
      </c>
      <c r="W286">
        <v>2.5</v>
      </c>
      <c r="X286">
        <v>1.06</v>
      </c>
      <c r="Y286">
        <f t="shared" si="61"/>
        <v>2.6500000000000004</v>
      </c>
    </row>
    <row r="287" spans="1:25" ht="21.75" customHeight="1" x14ac:dyDescent="0.2">
      <c r="A287" s="110">
        <f t="shared" ref="A287:A295" si="69">1+A286</f>
        <v>238</v>
      </c>
      <c r="B287" s="86" t="s">
        <v>343</v>
      </c>
      <c r="C287" s="24" t="s">
        <v>527</v>
      </c>
      <c r="D287" s="111" t="s">
        <v>23</v>
      </c>
      <c r="E287" s="24" t="s">
        <v>58</v>
      </c>
      <c r="F287" s="27">
        <v>2.5</v>
      </c>
      <c r="G287" s="27">
        <v>3.61</v>
      </c>
      <c r="H287" s="28">
        <f t="shared" si="68"/>
        <v>-0.30747922437673125</v>
      </c>
      <c r="I287" s="25"/>
      <c r="K287" s="54" t="s">
        <v>322</v>
      </c>
      <c r="L287" s="9">
        <v>3.61</v>
      </c>
      <c r="W287">
        <v>2.5</v>
      </c>
      <c r="X287">
        <v>1.06</v>
      </c>
      <c r="Y287">
        <f t="shared" si="61"/>
        <v>2.6500000000000004</v>
      </c>
    </row>
    <row r="288" spans="1:25" ht="22.5" customHeight="1" x14ac:dyDescent="0.2">
      <c r="A288" s="110">
        <f t="shared" si="69"/>
        <v>239</v>
      </c>
      <c r="B288" s="86" t="s">
        <v>344</v>
      </c>
      <c r="C288" s="24" t="s">
        <v>527</v>
      </c>
      <c r="D288" s="111" t="s">
        <v>23</v>
      </c>
      <c r="E288" s="24" t="s">
        <v>58</v>
      </c>
      <c r="F288" s="27">
        <v>3.89</v>
      </c>
      <c r="G288" s="27">
        <v>3.89</v>
      </c>
      <c r="H288" s="28">
        <f t="shared" si="68"/>
        <v>0</v>
      </c>
      <c r="I288" s="25"/>
      <c r="K288" s="54" t="s">
        <v>322</v>
      </c>
      <c r="L288" s="9"/>
      <c r="W288">
        <v>3.89</v>
      </c>
      <c r="X288">
        <v>1.06</v>
      </c>
      <c r="Y288">
        <f t="shared" si="61"/>
        <v>4.1234000000000002</v>
      </c>
    </row>
    <row r="289" spans="1:25" ht="20.25" customHeight="1" x14ac:dyDescent="0.2">
      <c r="A289" s="110">
        <f t="shared" si="69"/>
        <v>240</v>
      </c>
      <c r="B289" s="86" t="s">
        <v>345</v>
      </c>
      <c r="C289" s="24" t="s">
        <v>346</v>
      </c>
      <c r="D289" s="111" t="s">
        <v>23</v>
      </c>
      <c r="E289" s="24" t="s">
        <v>58</v>
      </c>
      <c r="F289" s="27">
        <v>5.54</v>
      </c>
      <c r="G289" s="27">
        <v>7.09</v>
      </c>
      <c r="H289" s="28">
        <f t="shared" si="68"/>
        <v>-0.21861777150916784</v>
      </c>
      <c r="I289" s="25"/>
      <c r="K289" s="54" t="s">
        <v>322</v>
      </c>
      <c r="L289" s="9">
        <v>7.09</v>
      </c>
      <c r="W289">
        <v>5.54</v>
      </c>
      <c r="X289">
        <v>1.06</v>
      </c>
      <c r="Y289">
        <f t="shared" si="61"/>
        <v>5.8724000000000007</v>
      </c>
    </row>
    <row r="290" spans="1:25" ht="19.5" customHeight="1" x14ac:dyDescent="0.2">
      <c r="A290" s="110">
        <f t="shared" si="69"/>
        <v>241</v>
      </c>
      <c r="B290" s="86" t="s">
        <v>347</v>
      </c>
      <c r="C290" s="24" t="s">
        <v>528</v>
      </c>
      <c r="D290" s="111" t="s">
        <v>23</v>
      </c>
      <c r="E290" s="24" t="s">
        <v>58</v>
      </c>
      <c r="F290" s="27">
        <v>4.63</v>
      </c>
      <c r="G290" s="27">
        <v>4.63</v>
      </c>
      <c r="H290" s="28">
        <f t="shared" si="68"/>
        <v>0</v>
      </c>
      <c r="I290" s="25"/>
      <c r="K290" s="54" t="s">
        <v>322</v>
      </c>
      <c r="L290" s="9"/>
      <c r="W290">
        <v>4.63</v>
      </c>
      <c r="X290">
        <v>1.06</v>
      </c>
      <c r="Y290">
        <f t="shared" si="61"/>
        <v>4.9077999999999999</v>
      </c>
    </row>
    <row r="291" spans="1:25" ht="21.75" customHeight="1" x14ac:dyDescent="0.2">
      <c r="A291" s="110">
        <f t="shared" si="69"/>
        <v>242</v>
      </c>
      <c r="B291" s="86" t="s">
        <v>348</v>
      </c>
      <c r="C291" s="24" t="s">
        <v>529</v>
      </c>
      <c r="D291" s="111" t="s">
        <v>23</v>
      </c>
      <c r="E291" s="24" t="s">
        <v>58</v>
      </c>
      <c r="F291" s="27">
        <v>1.48</v>
      </c>
      <c r="G291" s="27">
        <v>0.78</v>
      </c>
      <c r="H291" s="28">
        <f t="shared" si="68"/>
        <v>0.89743589743589736</v>
      </c>
      <c r="I291" s="25"/>
      <c r="K291" s="54" t="s">
        <v>322</v>
      </c>
      <c r="L291" s="9">
        <v>1.1599999999999999</v>
      </c>
      <c r="W291">
        <v>1.48</v>
      </c>
      <c r="X291">
        <v>1.06</v>
      </c>
      <c r="Y291">
        <f t="shared" si="61"/>
        <v>1.5688</v>
      </c>
    </row>
    <row r="292" spans="1:25" ht="20.25" customHeight="1" x14ac:dyDescent="0.2">
      <c r="A292" s="110">
        <f t="shared" si="69"/>
        <v>243</v>
      </c>
      <c r="B292" s="86" t="s">
        <v>349</v>
      </c>
      <c r="C292" s="24" t="s">
        <v>530</v>
      </c>
      <c r="D292" s="111" t="s">
        <v>23</v>
      </c>
      <c r="E292" s="24" t="s">
        <v>58</v>
      </c>
      <c r="F292" s="27">
        <v>2.6640000000000001</v>
      </c>
      <c r="G292" s="27">
        <v>3.31</v>
      </c>
      <c r="H292" s="28">
        <f t="shared" si="68"/>
        <v>-0.19516616314199398</v>
      </c>
      <c r="I292" s="25"/>
      <c r="K292" s="54" t="s">
        <v>322</v>
      </c>
      <c r="L292" s="9">
        <v>3.31</v>
      </c>
      <c r="W292">
        <v>2.6640000000000001</v>
      </c>
      <c r="X292">
        <v>1.06</v>
      </c>
      <c r="Y292">
        <f t="shared" si="61"/>
        <v>2.8238400000000001</v>
      </c>
    </row>
    <row r="293" spans="1:25" ht="24" customHeight="1" x14ac:dyDescent="0.2">
      <c r="A293" s="110">
        <f t="shared" si="69"/>
        <v>244</v>
      </c>
      <c r="B293" s="86" t="s">
        <v>350</v>
      </c>
      <c r="C293" s="155" t="s">
        <v>552</v>
      </c>
      <c r="D293" s="111" t="s">
        <v>23</v>
      </c>
      <c r="E293" s="24" t="s">
        <v>58</v>
      </c>
      <c r="F293" s="27">
        <v>6.02</v>
      </c>
      <c r="G293" s="27">
        <v>6.02</v>
      </c>
      <c r="H293" s="28">
        <f t="shared" si="68"/>
        <v>0</v>
      </c>
      <c r="I293" s="25"/>
      <c r="K293" s="54" t="s">
        <v>322</v>
      </c>
      <c r="L293" s="9"/>
      <c r="W293">
        <v>6.02</v>
      </c>
      <c r="X293">
        <v>1.06</v>
      </c>
      <c r="Y293">
        <f t="shared" si="61"/>
        <v>6.3811999999999998</v>
      </c>
    </row>
    <row r="294" spans="1:25" ht="23.25" customHeight="1" x14ac:dyDescent="0.2">
      <c r="A294" s="110">
        <f t="shared" si="69"/>
        <v>245</v>
      </c>
      <c r="B294" s="23" t="s">
        <v>351</v>
      </c>
      <c r="C294" s="24" t="s">
        <v>352</v>
      </c>
      <c r="D294" s="111" t="s">
        <v>23</v>
      </c>
      <c r="E294" s="31" t="s">
        <v>58</v>
      </c>
      <c r="F294" s="27">
        <v>9.9239999999999995</v>
      </c>
      <c r="G294" s="27">
        <v>14.33</v>
      </c>
      <c r="H294" s="28">
        <f t="shared" si="68"/>
        <v>-0.30746685275645502</v>
      </c>
      <c r="I294" s="25"/>
      <c r="K294" s="54" t="s">
        <v>322</v>
      </c>
      <c r="L294" s="9">
        <v>14.33</v>
      </c>
      <c r="W294">
        <v>9.9239999999999995</v>
      </c>
      <c r="X294">
        <v>1.06</v>
      </c>
      <c r="Y294">
        <f t="shared" si="61"/>
        <v>10.519439999999999</v>
      </c>
    </row>
    <row r="295" spans="1:25" ht="55.5" customHeight="1" thickBot="1" x14ac:dyDescent="0.25">
      <c r="A295" s="110">
        <f t="shared" si="69"/>
        <v>246</v>
      </c>
      <c r="B295" s="56" t="s">
        <v>353</v>
      </c>
      <c r="C295" s="57" t="s">
        <v>531</v>
      </c>
      <c r="D295" s="111" t="s">
        <v>23</v>
      </c>
      <c r="E295" s="59" t="s">
        <v>58</v>
      </c>
      <c r="F295" s="60">
        <v>2.5</v>
      </c>
      <c r="G295" s="60">
        <v>3.14</v>
      </c>
      <c r="H295" s="61">
        <f t="shared" si="68"/>
        <v>-0.20382165605095548</v>
      </c>
      <c r="I295" s="25"/>
      <c r="K295" s="54" t="s">
        <v>322</v>
      </c>
      <c r="L295" s="9">
        <v>3.14</v>
      </c>
      <c r="W295">
        <v>2.5</v>
      </c>
      <c r="X295">
        <v>1.06</v>
      </c>
      <c r="Y295">
        <f t="shared" si="61"/>
        <v>2.6500000000000004</v>
      </c>
    </row>
    <row r="296" spans="1:25" ht="21" customHeight="1" thickBot="1" x14ac:dyDescent="0.25">
      <c r="A296" s="1" t="s">
        <v>354</v>
      </c>
      <c r="B296" s="163" t="s">
        <v>355</v>
      </c>
      <c r="C296" s="164"/>
      <c r="D296" s="164"/>
      <c r="E296" s="164"/>
      <c r="F296" s="164"/>
      <c r="G296" s="164"/>
      <c r="H296" s="165"/>
      <c r="I296" s="25"/>
      <c r="K296" s="54" t="s">
        <v>322</v>
      </c>
      <c r="L296" s="9"/>
    </row>
    <row r="297" spans="1:25" ht="21" customHeight="1" x14ac:dyDescent="0.2">
      <c r="A297" s="22">
        <f>1+A295</f>
        <v>247</v>
      </c>
      <c r="B297" s="115" t="s">
        <v>356</v>
      </c>
      <c r="C297" s="116" t="s">
        <v>357</v>
      </c>
      <c r="D297" s="117" t="s">
        <v>23</v>
      </c>
      <c r="E297" s="16" t="s">
        <v>58</v>
      </c>
      <c r="F297" s="118">
        <v>2.5</v>
      </c>
      <c r="G297" s="118">
        <v>5.33</v>
      </c>
      <c r="H297" s="119">
        <f t="shared" ref="H297:H306" si="70">IFERROR(+(F297/G297)-1,"--")</f>
        <v>-0.53095684803001875</v>
      </c>
      <c r="I297" s="25"/>
      <c r="K297" s="54" t="s">
        <v>322</v>
      </c>
      <c r="L297" s="9">
        <v>5.33</v>
      </c>
      <c r="W297">
        <v>2.5</v>
      </c>
      <c r="X297">
        <v>1.06</v>
      </c>
      <c r="Y297">
        <f t="shared" si="61"/>
        <v>2.6500000000000004</v>
      </c>
    </row>
    <row r="298" spans="1:25" ht="21.75" customHeight="1" x14ac:dyDescent="0.2">
      <c r="A298" s="110">
        <f t="shared" ref="A298:A306" si="71">1+A297</f>
        <v>248</v>
      </c>
      <c r="B298" s="86" t="s">
        <v>442</v>
      </c>
      <c r="C298" s="24" t="s">
        <v>358</v>
      </c>
      <c r="D298" s="111" t="s">
        <v>23</v>
      </c>
      <c r="E298" s="52" t="s">
        <v>58</v>
      </c>
      <c r="F298" s="27">
        <v>3.7</v>
      </c>
      <c r="G298" s="27">
        <v>5.86</v>
      </c>
      <c r="H298" s="28">
        <f t="shared" si="70"/>
        <v>-0.3686006825938567</v>
      </c>
      <c r="I298" s="25"/>
      <c r="K298" s="54" t="s">
        <v>322</v>
      </c>
      <c r="L298" s="9"/>
      <c r="W298">
        <v>3.7</v>
      </c>
      <c r="X298">
        <v>1.06</v>
      </c>
      <c r="Y298">
        <f t="shared" si="61"/>
        <v>3.9220000000000006</v>
      </c>
    </row>
    <row r="299" spans="1:25" ht="21.75" customHeight="1" x14ac:dyDescent="0.2">
      <c r="A299" s="110">
        <f t="shared" si="71"/>
        <v>249</v>
      </c>
      <c r="B299" s="23" t="s">
        <v>359</v>
      </c>
      <c r="C299" s="24" t="s">
        <v>360</v>
      </c>
      <c r="D299" s="111" t="s">
        <v>23</v>
      </c>
      <c r="E299" s="31" t="s">
        <v>58</v>
      </c>
      <c r="F299" s="27">
        <v>5</v>
      </c>
      <c r="G299" s="27">
        <v>7.71</v>
      </c>
      <c r="H299" s="28">
        <f t="shared" si="70"/>
        <v>-0.35149156939040205</v>
      </c>
      <c r="I299" s="25"/>
      <c r="K299" s="54" t="s">
        <v>322</v>
      </c>
      <c r="L299" s="9"/>
      <c r="W299">
        <v>5</v>
      </c>
      <c r="X299">
        <v>1.06</v>
      </c>
      <c r="Y299">
        <f t="shared" si="61"/>
        <v>5.3000000000000007</v>
      </c>
    </row>
    <row r="300" spans="1:25" ht="21.75" customHeight="1" x14ac:dyDescent="0.2">
      <c r="A300" s="110">
        <f t="shared" si="71"/>
        <v>250</v>
      </c>
      <c r="B300" s="23" t="s">
        <v>443</v>
      </c>
      <c r="C300" s="24" t="s">
        <v>360</v>
      </c>
      <c r="D300" s="111" t="s">
        <v>23</v>
      </c>
      <c r="E300" s="31" t="s">
        <v>58</v>
      </c>
      <c r="F300" s="27">
        <v>2.5</v>
      </c>
      <c r="G300" s="27">
        <v>6.19</v>
      </c>
      <c r="H300" s="28">
        <f t="shared" si="70"/>
        <v>-0.59612277867528274</v>
      </c>
      <c r="I300" s="25"/>
      <c r="K300" s="54" t="s">
        <v>322</v>
      </c>
      <c r="L300" s="9">
        <v>6.19</v>
      </c>
      <c r="W300">
        <v>2.5</v>
      </c>
      <c r="X300">
        <v>1.06</v>
      </c>
      <c r="Y300">
        <f t="shared" si="61"/>
        <v>2.6500000000000004</v>
      </c>
    </row>
    <row r="301" spans="1:25" ht="21.75" customHeight="1" x14ac:dyDescent="0.2">
      <c r="A301" s="110">
        <f t="shared" si="71"/>
        <v>251</v>
      </c>
      <c r="B301" s="23" t="s">
        <v>444</v>
      </c>
      <c r="C301" s="24" t="s">
        <v>360</v>
      </c>
      <c r="D301" s="111" t="s">
        <v>23</v>
      </c>
      <c r="E301" s="31" t="s">
        <v>58</v>
      </c>
      <c r="F301" s="27">
        <v>2.5</v>
      </c>
      <c r="G301" s="27">
        <v>6.07</v>
      </c>
      <c r="H301" s="28">
        <f t="shared" si="70"/>
        <v>-0.58813838550247111</v>
      </c>
      <c r="I301" s="25"/>
      <c r="K301" s="54" t="s">
        <v>322</v>
      </c>
      <c r="L301" s="9">
        <v>6.07</v>
      </c>
      <c r="W301">
        <v>2.5</v>
      </c>
      <c r="X301">
        <v>1.06</v>
      </c>
      <c r="Y301">
        <f t="shared" si="61"/>
        <v>2.6500000000000004</v>
      </c>
    </row>
    <row r="302" spans="1:25" ht="21.75" customHeight="1" x14ac:dyDescent="0.2">
      <c r="A302" s="110">
        <f t="shared" si="71"/>
        <v>252</v>
      </c>
      <c r="B302" s="23" t="s">
        <v>361</v>
      </c>
      <c r="C302" s="24" t="s">
        <v>360</v>
      </c>
      <c r="D302" s="111" t="s">
        <v>23</v>
      </c>
      <c r="E302" s="31" t="s">
        <v>58</v>
      </c>
      <c r="F302" s="27">
        <v>2.5</v>
      </c>
      <c r="G302" s="27">
        <v>6.07</v>
      </c>
      <c r="H302" s="28">
        <f t="shared" si="70"/>
        <v>-0.58813838550247111</v>
      </c>
      <c r="I302" s="25"/>
      <c r="K302" s="54" t="s">
        <v>322</v>
      </c>
      <c r="L302" s="9">
        <v>6.07</v>
      </c>
      <c r="W302">
        <v>2.5</v>
      </c>
      <c r="X302">
        <v>1.06</v>
      </c>
      <c r="Y302">
        <f t="shared" si="61"/>
        <v>2.6500000000000004</v>
      </c>
    </row>
    <row r="303" spans="1:25" ht="21.75" customHeight="1" x14ac:dyDescent="0.2">
      <c r="A303" s="110">
        <f t="shared" si="71"/>
        <v>253</v>
      </c>
      <c r="B303" s="23" t="s">
        <v>362</v>
      </c>
      <c r="C303" s="24" t="s">
        <v>360</v>
      </c>
      <c r="D303" s="111" t="s">
        <v>23</v>
      </c>
      <c r="E303" s="31" t="s">
        <v>58</v>
      </c>
      <c r="F303" s="27">
        <v>7.5</v>
      </c>
      <c r="G303" s="27">
        <v>9.33</v>
      </c>
      <c r="H303" s="28">
        <f t="shared" si="70"/>
        <v>-0.1961414790996785</v>
      </c>
      <c r="I303" s="25"/>
      <c r="K303" s="54" t="s">
        <v>322</v>
      </c>
      <c r="L303" s="9">
        <v>9.33</v>
      </c>
      <c r="W303">
        <v>7.5</v>
      </c>
      <c r="X303">
        <v>1.06</v>
      </c>
      <c r="Y303">
        <f t="shared" si="61"/>
        <v>7.95</v>
      </c>
    </row>
    <row r="304" spans="1:25" ht="21.75" customHeight="1" x14ac:dyDescent="0.2">
      <c r="A304" s="110">
        <f t="shared" si="71"/>
        <v>254</v>
      </c>
      <c r="B304" s="23" t="s">
        <v>363</v>
      </c>
      <c r="C304" s="24" t="s">
        <v>364</v>
      </c>
      <c r="D304" s="111" t="s">
        <v>23</v>
      </c>
      <c r="E304" s="31" t="s">
        <v>58</v>
      </c>
      <c r="F304" s="27">
        <v>2.84</v>
      </c>
      <c r="G304" s="27">
        <v>2.84</v>
      </c>
      <c r="H304" s="28">
        <f t="shared" si="70"/>
        <v>0</v>
      </c>
      <c r="I304" s="25"/>
      <c r="K304" s="54" t="s">
        <v>322</v>
      </c>
      <c r="L304" s="9"/>
      <c r="W304">
        <v>2.84</v>
      </c>
      <c r="X304">
        <v>1.06</v>
      </c>
      <c r="Y304">
        <f t="shared" si="61"/>
        <v>3.0104000000000002</v>
      </c>
    </row>
    <row r="305" spans="1:25" ht="21.75" customHeight="1" x14ac:dyDescent="0.2">
      <c r="A305" s="110">
        <f t="shared" si="71"/>
        <v>255</v>
      </c>
      <c r="B305" s="23" t="s">
        <v>365</v>
      </c>
      <c r="C305" s="24" t="s">
        <v>364</v>
      </c>
      <c r="D305" s="111" t="s">
        <v>23</v>
      </c>
      <c r="E305" s="31" t="s">
        <v>58</v>
      </c>
      <c r="F305" s="27">
        <v>3.2639999999999998</v>
      </c>
      <c r="G305" s="27">
        <v>4.32</v>
      </c>
      <c r="H305" s="28">
        <f t="shared" si="70"/>
        <v>-0.24444444444444458</v>
      </c>
      <c r="I305" s="25"/>
      <c r="K305" s="54" t="s">
        <v>322</v>
      </c>
      <c r="L305" s="9">
        <v>4.32</v>
      </c>
      <c r="W305">
        <v>3.2639999999999998</v>
      </c>
      <c r="X305">
        <v>1.06</v>
      </c>
      <c r="Y305">
        <f t="shared" si="61"/>
        <v>3.4598399999999998</v>
      </c>
    </row>
    <row r="306" spans="1:25" ht="21.75" customHeight="1" thickBot="1" x14ac:dyDescent="0.25">
      <c r="A306" s="110">
        <f t="shared" si="71"/>
        <v>256</v>
      </c>
      <c r="B306" s="64" t="s">
        <v>366</v>
      </c>
      <c r="C306" s="24" t="s">
        <v>364</v>
      </c>
      <c r="D306" s="111" t="s">
        <v>23</v>
      </c>
      <c r="E306" s="67" t="s">
        <v>58</v>
      </c>
      <c r="F306" s="68">
        <v>3.67</v>
      </c>
      <c r="G306" s="68">
        <v>3.67</v>
      </c>
      <c r="H306" s="69">
        <f t="shared" si="70"/>
        <v>0</v>
      </c>
      <c r="I306" s="25"/>
      <c r="K306" s="54" t="s">
        <v>322</v>
      </c>
      <c r="L306" s="9"/>
      <c r="W306">
        <v>3.67</v>
      </c>
      <c r="X306">
        <v>1.06</v>
      </c>
      <c r="Y306">
        <f t="shared" si="61"/>
        <v>3.8902000000000001</v>
      </c>
    </row>
    <row r="307" spans="1:25" ht="21.75" customHeight="1" thickBot="1" x14ac:dyDescent="0.25">
      <c r="A307" s="1" t="s">
        <v>367</v>
      </c>
      <c r="B307" s="163" t="s">
        <v>368</v>
      </c>
      <c r="C307" s="164"/>
      <c r="D307" s="164"/>
      <c r="E307" s="164"/>
      <c r="F307" s="164"/>
      <c r="G307" s="164"/>
      <c r="H307" s="165"/>
      <c r="I307" s="25"/>
      <c r="K307" s="54" t="s">
        <v>322</v>
      </c>
      <c r="L307" s="9"/>
    </row>
    <row r="308" spans="1:25" ht="19.5" customHeight="1" x14ac:dyDescent="0.2">
      <c r="A308" s="110">
        <f>1+A306</f>
        <v>257</v>
      </c>
      <c r="B308" s="15" t="s">
        <v>369</v>
      </c>
      <c r="C308" s="16" t="s">
        <v>370</v>
      </c>
      <c r="D308" s="111" t="s">
        <v>23</v>
      </c>
      <c r="E308" s="78" t="s">
        <v>58</v>
      </c>
      <c r="F308" s="19">
        <v>10.34</v>
      </c>
      <c r="G308" s="19">
        <v>10.34</v>
      </c>
      <c r="H308" s="20">
        <f t="shared" ref="H308:H314" si="72">IFERROR(+(F308/G308)-1,"--")</f>
        <v>0</v>
      </c>
      <c r="I308" s="25"/>
      <c r="K308" s="54" t="s">
        <v>322</v>
      </c>
      <c r="L308" s="9"/>
      <c r="W308">
        <v>10.34</v>
      </c>
      <c r="X308">
        <v>1.06</v>
      </c>
      <c r="Y308">
        <f t="shared" si="61"/>
        <v>10.9604</v>
      </c>
    </row>
    <row r="309" spans="1:25" ht="18.75" customHeight="1" x14ac:dyDescent="0.2">
      <c r="A309" s="110">
        <f t="shared" ref="A309:A314" si="73">1+A308</f>
        <v>258</v>
      </c>
      <c r="B309" s="23" t="s">
        <v>447</v>
      </c>
      <c r="C309" s="24" t="s">
        <v>371</v>
      </c>
      <c r="D309" s="111" t="s">
        <v>23</v>
      </c>
      <c r="E309" s="31" t="s">
        <v>58</v>
      </c>
      <c r="F309" s="27">
        <v>1.47</v>
      </c>
      <c r="G309" s="27">
        <v>1.47</v>
      </c>
      <c r="H309" s="28">
        <f t="shared" si="72"/>
        <v>0</v>
      </c>
      <c r="I309" s="25"/>
      <c r="K309" s="54" t="s">
        <v>322</v>
      </c>
      <c r="L309" s="9"/>
      <c r="W309">
        <v>1.47</v>
      </c>
      <c r="X309">
        <v>1.06</v>
      </c>
      <c r="Y309">
        <f t="shared" si="61"/>
        <v>1.5582</v>
      </c>
    </row>
    <row r="310" spans="1:25" ht="18.75" customHeight="1" x14ac:dyDescent="0.2">
      <c r="A310" s="110">
        <f t="shared" si="73"/>
        <v>259</v>
      </c>
      <c r="B310" s="23" t="s">
        <v>445</v>
      </c>
      <c r="C310" s="24" t="s">
        <v>370</v>
      </c>
      <c r="D310" s="111" t="s">
        <v>23</v>
      </c>
      <c r="E310" s="31" t="s">
        <v>58</v>
      </c>
      <c r="F310" s="27">
        <v>2.56</v>
      </c>
      <c r="G310" s="27">
        <v>2.56</v>
      </c>
      <c r="H310" s="28">
        <f t="shared" si="72"/>
        <v>0</v>
      </c>
      <c r="I310" s="25"/>
      <c r="K310" s="54" t="s">
        <v>322</v>
      </c>
      <c r="L310" s="9"/>
      <c r="W310">
        <v>2.56</v>
      </c>
      <c r="X310">
        <v>1.06</v>
      </c>
      <c r="Y310">
        <f t="shared" si="61"/>
        <v>2.7136</v>
      </c>
    </row>
    <row r="311" spans="1:25" ht="21" customHeight="1" x14ac:dyDescent="0.2">
      <c r="A311" s="110">
        <f t="shared" si="73"/>
        <v>260</v>
      </c>
      <c r="B311" s="23" t="s">
        <v>446</v>
      </c>
      <c r="C311" s="24" t="s">
        <v>370</v>
      </c>
      <c r="D311" s="111" t="s">
        <v>23</v>
      </c>
      <c r="E311" s="31" t="s">
        <v>58</v>
      </c>
      <c r="F311" s="27">
        <v>2.5299999999999998</v>
      </c>
      <c r="G311" s="27">
        <v>2.5299999999999998</v>
      </c>
      <c r="H311" s="28">
        <f t="shared" si="72"/>
        <v>0</v>
      </c>
      <c r="I311" s="25"/>
      <c r="K311" s="54" t="s">
        <v>322</v>
      </c>
      <c r="L311" s="9"/>
      <c r="W311">
        <v>2.5299999999999998</v>
      </c>
      <c r="X311">
        <v>1.06</v>
      </c>
      <c r="Y311">
        <f t="shared" si="61"/>
        <v>2.6818</v>
      </c>
    </row>
    <row r="312" spans="1:25" ht="21" customHeight="1" x14ac:dyDescent="0.2">
      <c r="A312" s="110">
        <f t="shared" si="73"/>
        <v>261</v>
      </c>
      <c r="B312" s="23" t="s">
        <v>372</v>
      </c>
      <c r="C312" s="24" t="s">
        <v>373</v>
      </c>
      <c r="D312" s="111" t="s">
        <v>23</v>
      </c>
      <c r="E312" s="31" t="s">
        <v>58</v>
      </c>
      <c r="F312" s="27">
        <v>2.5299999999999998</v>
      </c>
      <c r="G312" s="27">
        <v>2.5299999999999998</v>
      </c>
      <c r="H312" s="28">
        <f t="shared" si="72"/>
        <v>0</v>
      </c>
      <c r="I312" s="25"/>
      <c r="K312" s="54" t="s">
        <v>322</v>
      </c>
      <c r="L312" s="9"/>
      <c r="W312">
        <v>2.5299999999999998</v>
      </c>
      <c r="X312">
        <v>1.06</v>
      </c>
      <c r="Y312">
        <f t="shared" si="61"/>
        <v>2.6818</v>
      </c>
    </row>
    <row r="313" spans="1:25" ht="21" customHeight="1" x14ac:dyDescent="0.2">
      <c r="A313" s="110">
        <f t="shared" si="73"/>
        <v>262</v>
      </c>
      <c r="B313" s="23" t="s">
        <v>374</v>
      </c>
      <c r="C313" s="24" t="s">
        <v>373</v>
      </c>
      <c r="D313" s="111" t="s">
        <v>23</v>
      </c>
      <c r="E313" s="31" t="s">
        <v>58</v>
      </c>
      <c r="F313" s="27">
        <v>2.56</v>
      </c>
      <c r="G313" s="27">
        <v>2.56</v>
      </c>
      <c r="H313" s="28">
        <f t="shared" si="72"/>
        <v>0</v>
      </c>
      <c r="I313" s="25"/>
      <c r="K313" s="54" t="s">
        <v>322</v>
      </c>
      <c r="L313" s="9"/>
      <c r="W313">
        <v>2.56</v>
      </c>
      <c r="X313">
        <v>1.06</v>
      </c>
      <c r="Y313">
        <f t="shared" si="61"/>
        <v>2.7136</v>
      </c>
    </row>
    <row r="314" spans="1:25" ht="21" customHeight="1" thickBot="1" x14ac:dyDescent="0.25">
      <c r="A314" s="110">
        <f t="shared" si="73"/>
        <v>263</v>
      </c>
      <c r="B314" s="56" t="s">
        <v>375</v>
      </c>
      <c r="C314" s="57" t="s">
        <v>370</v>
      </c>
      <c r="D314" s="111" t="s">
        <v>23</v>
      </c>
      <c r="E314" s="59" t="s">
        <v>58</v>
      </c>
      <c r="F314" s="60">
        <v>1.7</v>
      </c>
      <c r="G314" s="60">
        <v>1.7</v>
      </c>
      <c r="H314" s="61">
        <f t="shared" si="72"/>
        <v>0</v>
      </c>
      <c r="I314" s="25"/>
      <c r="K314" s="54" t="s">
        <v>322</v>
      </c>
      <c r="L314" s="9"/>
      <c r="W314">
        <v>1.7</v>
      </c>
      <c r="X314">
        <v>1.06</v>
      </c>
      <c r="Y314">
        <f t="shared" si="61"/>
        <v>1.802</v>
      </c>
    </row>
    <row r="315" spans="1:25" ht="21.75" customHeight="1" thickBot="1" x14ac:dyDescent="0.25">
      <c r="A315" s="1" t="s">
        <v>376</v>
      </c>
      <c r="B315" s="163" t="s">
        <v>377</v>
      </c>
      <c r="C315" s="164"/>
      <c r="D315" s="164"/>
      <c r="E315" s="164"/>
      <c r="F315" s="164"/>
      <c r="G315" s="164"/>
      <c r="H315" s="165"/>
      <c r="I315" s="25"/>
      <c r="K315" s="54" t="s">
        <v>322</v>
      </c>
      <c r="L315" s="9"/>
    </row>
    <row r="316" spans="1:25" ht="24.75" customHeight="1" x14ac:dyDescent="0.2">
      <c r="A316" s="110">
        <f>1+A314</f>
        <v>264</v>
      </c>
      <c r="B316" s="15" t="s">
        <v>378</v>
      </c>
      <c r="C316" s="16" t="s">
        <v>379</v>
      </c>
      <c r="D316" s="111" t="s">
        <v>23</v>
      </c>
      <c r="E316" s="31" t="s">
        <v>58</v>
      </c>
      <c r="F316" s="19">
        <v>3.26</v>
      </c>
      <c r="G316" s="19">
        <v>3.26</v>
      </c>
      <c r="H316" s="20">
        <f t="shared" ref="H316:H321" si="74">IFERROR(+(F316/G316)-1,"--")</f>
        <v>0</v>
      </c>
      <c r="I316" s="25"/>
      <c r="K316" s="54" t="s">
        <v>322</v>
      </c>
      <c r="L316" s="9"/>
      <c r="W316">
        <v>3.26</v>
      </c>
      <c r="X316">
        <v>1.06</v>
      </c>
      <c r="Y316">
        <f t="shared" si="61"/>
        <v>3.4556</v>
      </c>
    </row>
    <row r="317" spans="1:25" ht="24.75" customHeight="1" x14ac:dyDescent="0.2">
      <c r="A317" s="110">
        <f t="shared" ref="A317:A321" si="75">1+A316</f>
        <v>265</v>
      </c>
      <c r="B317" s="23" t="s">
        <v>380</v>
      </c>
      <c r="C317" s="24" t="s">
        <v>381</v>
      </c>
      <c r="D317" s="111" t="s">
        <v>23</v>
      </c>
      <c r="E317" s="31" t="s">
        <v>58</v>
      </c>
      <c r="F317" s="27">
        <v>3.2</v>
      </c>
      <c r="G317" s="27">
        <v>3.2</v>
      </c>
      <c r="H317" s="28">
        <f t="shared" si="74"/>
        <v>0</v>
      </c>
      <c r="I317" s="25"/>
      <c r="K317" s="54" t="s">
        <v>322</v>
      </c>
      <c r="L317" s="9"/>
      <c r="W317">
        <v>3.2</v>
      </c>
      <c r="X317">
        <v>1.06</v>
      </c>
      <c r="Y317">
        <f t="shared" si="61"/>
        <v>3.3920000000000003</v>
      </c>
    </row>
    <row r="318" spans="1:25" ht="24.75" customHeight="1" x14ac:dyDescent="0.2">
      <c r="A318" s="110">
        <f t="shared" si="75"/>
        <v>266</v>
      </c>
      <c r="B318" s="23" t="s">
        <v>382</v>
      </c>
      <c r="C318" s="24" t="s">
        <v>383</v>
      </c>
      <c r="D318" s="111" t="s">
        <v>23</v>
      </c>
      <c r="E318" s="31" t="s">
        <v>58</v>
      </c>
      <c r="F318" s="27">
        <v>17.77</v>
      </c>
      <c r="G318" s="27">
        <v>17.77</v>
      </c>
      <c r="H318" s="28">
        <f t="shared" si="74"/>
        <v>0</v>
      </c>
      <c r="I318" s="25"/>
      <c r="K318" s="54" t="s">
        <v>322</v>
      </c>
      <c r="L318" s="9"/>
      <c r="W318">
        <v>17.77</v>
      </c>
      <c r="X318">
        <v>1.06</v>
      </c>
      <c r="Y318">
        <f t="shared" si="61"/>
        <v>18.836200000000002</v>
      </c>
    </row>
    <row r="319" spans="1:25" ht="24.75" customHeight="1" x14ac:dyDescent="0.2">
      <c r="A319" s="110">
        <f t="shared" si="75"/>
        <v>267</v>
      </c>
      <c r="B319" s="23" t="s">
        <v>384</v>
      </c>
      <c r="C319" s="24" t="s">
        <v>385</v>
      </c>
      <c r="D319" s="111" t="s">
        <v>23</v>
      </c>
      <c r="E319" s="31" t="s">
        <v>58</v>
      </c>
      <c r="F319" s="27">
        <v>16.260000000000002</v>
      </c>
      <c r="G319" s="27">
        <v>16.260000000000002</v>
      </c>
      <c r="H319" s="28">
        <f t="shared" si="74"/>
        <v>0</v>
      </c>
      <c r="I319" s="25"/>
      <c r="K319" s="54" t="s">
        <v>322</v>
      </c>
      <c r="L319" s="9"/>
      <c r="W319">
        <v>16.260000000000002</v>
      </c>
      <c r="X319">
        <v>1.06</v>
      </c>
      <c r="Y319">
        <f t="shared" si="61"/>
        <v>17.235600000000002</v>
      </c>
    </row>
    <row r="320" spans="1:25" ht="24.75" customHeight="1" x14ac:dyDescent="0.2">
      <c r="A320" s="110">
        <f t="shared" si="75"/>
        <v>268</v>
      </c>
      <c r="B320" s="23" t="s">
        <v>386</v>
      </c>
      <c r="C320" s="24" t="s">
        <v>387</v>
      </c>
      <c r="D320" s="111" t="s">
        <v>23</v>
      </c>
      <c r="E320" s="31" t="s">
        <v>58</v>
      </c>
      <c r="F320" s="27">
        <v>6.76</v>
      </c>
      <c r="G320" s="27">
        <v>6.76</v>
      </c>
      <c r="H320" s="28">
        <f t="shared" si="74"/>
        <v>0</v>
      </c>
      <c r="I320" s="25"/>
      <c r="K320" s="54" t="s">
        <v>322</v>
      </c>
      <c r="L320" s="9"/>
      <c r="W320">
        <v>6.76</v>
      </c>
      <c r="X320">
        <v>1.06</v>
      </c>
      <c r="Y320">
        <f t="shared" si="61"/>
        <v>7.1656000000000004</v>
      </c>
    </row>
    <row r="321" spans="1:25" ht="24.75" customHeight="1" thickBot="1" x14ac:dyDescent="0.25">
      <c r="A321" s="110">
        <f t="shared" si="75"/>
        <v>269</v>
      </c>
      <c r="B321" s="56" t="s">
        <v>388</v>
      </c>
      <c r="C321" s="57" t="s">
        <v>389</v>
      </c>
      <c r="D321" s="111" t="s">
        <v>23</v>
      </c>
      <c r="E321" s="59" t="s">
        <v>58</v>
      </c>
      <c r="F321" s="60">
        <f>5.93*1.28</f>
        <v>7.5903999999999998</v>
      </c>
      <c r="G321" s="60">
        <v>10.029999999999999</v>
      </c>
      <c r="H321" s="61">
        <f t="shared" si="74"/>
        <v>-0.24323030907278165</v>
      </c>
      <c r="I321" s="25"/>
      <c r="K321" s="54" t="s">
        <v>322</v>
      </c>
      <c r="L321" s="9">
        <v>10.029999999999999</v>
      </c>
      <c r="W321">
        <v>10.029999999999999</v>
      </c>
      <c r="X321">
        <v>1.06</v>
      </c>
      <c r="Y321">
        <f t="shared" si="61"/>
        <v>10.6318</v>
      </c>
    </row>
    <row r="322" spans="1:25" ht="21.75" customHeight="1" thickBot="1" x14ac:dyDescent="0.25">
      <c r="A322" s="10" t="s">
        <v>390</v>
      </c>
      <c r="B322" s="167" t="s">
        <v>391</v>
      </c>
      <c r="C322" s="168"/>
      <c r="D322" s="168"/>
      <c r="E322" s="168"/>
      <c r="F322" s="168"/>
      <c r="G322" s="168"/>
      <c r="H322" s="168"/>
      <c r="I322" s="168"/>
      <c r="J322" s="169"/>
      <c r="K322" s="8"/>
      <c r="L322" s="120"/>
    </row>
    <row r="323" spans="1:25" ht="24" customHeight="1" thickBot="1" x14ac:dyDescent="0.25">
      <c r="A323" s="10" t="s">
        <v>392</v>
      </c>
      <c r="B323" s="163" t="s">
        <v>393</v>
      </c>
      <c r="C323" s="164"/>
      <c r="D323" s="164"/>
      <c r="E323" s="164"/>
      <c r="F323" s="164"/>
      <c r="G323" s="164"/>
      <c r="H323" s="165"/>
      <c r="I323" s="25"/>
      <c r="K323" s="8"/>
      <c r="L323" s="9"/>
    </row>
    <row r="324" spans="1:25" ht="126" customHeight="1" thickBot="1" x14ac:dyDescent="0.25">
      <c r="A324" s="110">
        <f>1+A321</f>
        <v>270</v>
      </c>
      <c r="B324" s="15" t="s">
        <v>394</v>
      </c>
      <c r="C324" s="16" t="s">
        <v>36</v>
      </c>
      <c r="D324" s="25">
        <v>5000</v>
      </c>
      <c r="E324" s="31" t="s">
        <v>26</v>
      </c>
      <c r="F324" s="19">
        <v>440.28</v>
      </c>
      <c r="G324" s="19">
        <v>382.85</v>
      </c>
      <c r="H324" s="20">
        <f t="shared" ref="H324:H332" si="76">IFERROR(+(F324/G324)-1,"--")</f>
        <v>0.15000652997257391</v>
      </c>
      <c r="I324" s="25"/>
      <c r="J324" s="121"/>
      <c r="K324" s="122">
        <v>2341</v>
      </c>
      <c r="L324" s="123">
        <f>+F324*3</f>
        <v>1320.84</v>
      </c>
      <c r="M324" s="124">
        <f>+F327</f>
        <v>261.36320000000006</v>
      </c>
      <c r="N324" s="124">
        <f>+F330*3</f>
        <v>108.32399999999998</v>
      </c>
      <c r="O324" s="124">
        <f t="shared" ref="O324:O326" si="77">+SUM(L324:N324)</f>
        <v>1690.5272</v>
      </c>
      <c r="P324" s="125">
        <f t="shared" ref="P324:P332" si="78">+F324*32000</f>
        <v>14088960</v>
      </c>
      <c r="Q324" s="126">
        <f>+F324*3+F327</f>
        <v>1582.2031999999999</v>
      </c>
      <c r="R324" s="83">
        <f>+Q324*35000</f>
        <v>55377112</v>
      </c>
      <c r="W324">
        <v>440.28</v>
      </c>
      <c r="X324">
        <v>1.04</v>
      </c>
      <c r="Y324">
        <f t="shared" si="61"/>
        <v>457.89119999999997</v>
      </c>
    </row>
    <row r="325" spans="1:25" ht="126" customHeight="1" thickBot="1" x14ac:dyDescent="0.25">
      <c r="A325" s="110">
        <f t="shared" ref="A325:A332" si="79">+A324+1</f>
        <v>271</v>
      </c>
      <c r="B325" s="15" t="s">
        <v>395</v>
      </c>
      <c r="C325" s="16" t="s">
        <v>36</v>
      </c>
      <c r="D325" s="25">
        <v>1500</v>
      </c>
      <c r="E325" s="31" t="s">
        <v>26</v>
      </c>
      <c r="F325" s="19">
        <v>308.38</v>
      </c>
      <c r="G325" s="19">
        <v>268.16000000000003</v>
      </c>
      <c r="H325" s="20">
        <f t="shared" si="76"/>
        <v>0.1499850835322194</v>
      </c>
      <c r="I325" s="25"/>
      <c r="J325" s="121"/>
      <c r="K325" s="122">
        <v>2341</v>
      </c>
      <c r="L325" s="123">
        <f>+F325*3</f>
        <v>925.14</v>
      </c>
      <c r="M325" s="124">
        <f>+F328</f>
        <v>144.44399999999999</v>
      </c>
      <c r="N325" s="124">
        <f>+F331*3</f>
        <v>64.367999999999995</v>
      </c>
      <c r="O325" s="124">
        <f t="shared" si="77"/>
        <v>1133.952</v>
      </c>
      <c r="P325" s="125">
        <f t="shared" si="78"/>
        <v>9868160</v>
      </c>
      <c r="Q325" s="126"/>
      <c r="R325" s="83">
        <f>+R324/800</f>
        <v>69221.39</v>
      </c>
      <c r="S325">
        <f>12*25.4</f>
        <v>304.79999999999995</v>
      </c>
      <c r="W325">
        <v>308.38</v>
      </c>
      <c r="X325">
        <v>1.04</v>
      </c>
      <c r="Y325">
        <f t="shared" si="61"/>
        <v>320.71519999999998</v>
      </c>
    </row>
    <row r="326" spans="1:25" ht="126" customHeight="1" x14ac:dyDescent="0.2">
      <c r="A326" s="110">
        <f t="shared" si="79"/>
        <v>272</v>
      </c>
      <c r="B326" s="15" t="s">
        <v>396</v>
      </c>
      <c r="C326" s="16" t="s">
        <v>36</v>
      </c>
      <c r="D326" s="25">
        <v>150</v>
      </c>
      <c r="E326" s="31" t="s">
        <v>26</v>
      </c>
      <c r="F326" s="19">
        <v>139.5</v>
      </c>
      <c r="G326" s="19">
        <v>133.69</v>
      </c>
      <c r="H326" s="20">
        <f t="shared" si="76"/>
        <v>4.3458747849502544E-2</v>
      </c>
      <c r="I326" s="25">
        <v>23410003</v>
      </c>
      <c r="J326" s="121"/>
      <c r="K326" s="122">
        <v>2341</v>
      </c>
      <c r="L326" s="123">
        <f>+F326*3</f>
        <v>418.5</v>
      </c>
      <c r="M326" s="124">
        <f>+F329</f>
        <v>36.46</v>
      </c>
      <c r="N326" s="124">
        <f>+F332*3</f>
        <v>18.450000000000003</v>
      </c>
      <c r="O326" s="124">
        <f t="shared" si="77"/>
        <v>473.40999999999997</v>
      </c>
      <c r="P326" s="125">
        <f t="shared" si="78"/>
        <v>4464000</v>
      </c>
      <c r="Q326" s="126">
        <f>+F326*3+F329</f>
        <v>454.96</v>
      </c>
      <c r="R326" s="83">
        <f>+Q326*35000</f>
        <v>15923600</v>
      </c>
      <c r="S326">
        <f>+F326*3+F329</f>
        <v>454.96</v>
      </c>
      <c r="W326">
        <v>139.5</v>
      </c>
      <c r="X326">
        <v>1.04</v>
      </c>
      <c r="Y326">
        <f t="shared" ref="Y326:Y389" si="80">W326*X326</f>
        <v>145.08000000000001</v>
      </c>
    </row>
    <row r="327" spans="1:25" ht="90" customHeight="1" x14ac:dyDescent="0.2">
      <c r="A327" s="110">
        <f t="shared" si="79"/>
        <v>273</v>
      </c>
      <c r="B327" s="23" t="s">
        <v>397</v>
      </c>
      <c r="C327" s="24" t="s">
        <v>36</v>
      </c>
      <c r="D327" s="111" t="s">
        <v>398</v>
      </c>
      <c r="E327" s="31" t="s">
        <v>251</v>
      </c>
      <c r="F327" s="27">
        <f>+G327*1.12</f>
        <v>261.36320000000006</v>
      </c>
      <c r="G327" s="27">
        <v>233.36</v>
      </c>
      <c r="H327" s="28">
        <f t="shared" si="76"/>
        <v>0.12000000000000011</v>
      </c>
      <c r="I327" s="25"/>
      <c r="J327" s="121"/>
      <c r="K327" s="122">
        <v>2341</v>
      </c>
      <c r="L327" s="128">
        <f>+F327/3</f>
        <v>87.121066666666692</v>
      </c>
      <c r="M327" s="126">
        <f>+F327/3</f>
        <v>87.121066666666692</v>
      </c>
      <c r="P327" s="125">
        <f t="shared" si="78"/>
        <v>8363622.4000000022</v>
      </c>
      <c r="R327" s="83">
        <f t="shared" ref="R327:R328" si="81">+R326/800</f>
        <v>19904.5</v>
      </c>
      <c r="S327" s="83">
        <f t="shared" ref="S327:S328" si="82">12*25.4</f>
        <v>304.79999999999995</v>
      </c>
      <c r="W327">
        <v>261.36320000000006</v>
      </c>
      <c r="X327">
        <v>1.04</v>
      </c>
      <c r="Y327">
        <f t="shared" si="80"/>
        <v>271.8177280000001</v>
      </c>
    </row>
    <row r="328" spans="1:25" ht="68.25" customHeight="1" x14ac:dyDescent="0.2">
      <c r="A328" s="110">
        <f t="shared" si="79"/>
        <v>274</v>
      </c>
      <c r="B328" s="23" t="s">
        <v>399</v>
      </c>
      <c r="C328" s="24" t="s">
        <v>36</v>
      </c>
      <c r="D328" s="111" t="s">
        <v>398</v>
      </c>
      <c r="E328" s="31" t="s">
        <v>251</v>
      </c>
      <c r="F328" s="27">
        <v>144.44399999999999</v>
      </c>
      <c r="G328" s="27">
        <v>120.37</v>
      </c>
      <c r="H328" s="28">
        <f t="shared" si="76"/>
        <v>0.19999999999999996</v>
      </c>
      <c r="I328" s="25"/>
      <c r="J328" s="121"/>
      <c r="K328" s="122">
        <v>2341</v>
      </c>
      <c r="L328" s="128"/>
      <c r="M328" s="83">
        <f>1/1.5</f>
        <v>0.66666666666666663</v>
      </c>
      <c r="P328" s="125">
        <f t="shared" si="78"/>
        <v>4622208</v>
      </c>
      <c r="R328" s="83">
        <f t="shared" si="81"/>
        <v>24.880624999999998</v>
      </c>
      <c r="S328" s="83">
        <f t="shared" si="82"/>
        <v>304.79999999999995</v>
      </c>
      <c r="W328">
        <v>144.44399999999999</v>
      </c>
      <c r="X328">
        <v>1.04</v>
      </c>
      <c r="Y328">
        <f t="shared" si="80"/>
        <v>150.22175999999999</v>
      </c>
    </row>
    <row r="329" spans="1:25" ht="88.5" customHeight="1" x14ac:dyDescent="0.2">
      <c r="A329" s="110">
        <f t="shared" si="79"/>
        <v>275</v>
      </c>
      <c r="B329" s="23" t="s">
        <v>603</v>
      </c>
      <c r="C329" s="24" t="s">
        <v>36</v>
      </c>
      <c r="D329" s="111" t="s">
        <v>398</v>
      </c>
      <c r="E329" s="31" t="s">
        <v>251</v>
      </c>
      <c r="F329" s="27">
        <v>36.46</v>
      </c>
      <c r="G329" s="27">
        <v>41.93</v>
      </c>
      <c r="H329" s="28">
        <f t="shared" si="76"/>
        <v>-0.13045552110660619</v>
      </c>
      <c r="I329" s="25">
        <v>23410006</v>
      </c>
      <c r="J329" s="121"/>
      <c r="K329" s="122">
        <v>2341</v>
      </c>
      <c r="L329" s="128"/>
      <c r="M329" s="83">
        <f>+M328*M327</f>
        <v>58.080711111111128</v>
      </c>
      <c r="P329" s="125">
        <f t="shared" si="78"/>
        <v>1166720</v>
      </c>
      <c r="W329">
        <v>36.46</v>
      </c>
      <c r="X329">
        <v>1.04</v>
      </c>
      <c r="Y329">
        <f t="shared" si="80"/>
        <v>37.918400000000005</v>
      </c>
    </row>
    <row r="330" spans="1:25" ht="53.25" customHeight="1" x14ac:dyDescent="0.2">
      <c r="A330" s="110">
        <f t="shared" si="79"/>
        <v>276</v>
      </c>
      <c r="B330" s="23" t="s">
        <v>400</v>
      </c>
      <c r="C330" s="24" t="s">
        <v>36</v>
      </c>
      <c r="D330" s="111" t="s">
        <v>398</v>
      </c>
      <c r="E330" s="31" t="s">
        <v>15</v>
      </c>
      <c r="F330" s="27">
        <v>36.107999999999997</v>
      </c>
      <c r="G330" s="27">
        <v>30.09</v>
      </c>
      <c r="H330" s="28">
        <f t="shared" si="76"/>
        <v>0.19999999999999996</v>
      </c>
      <c r="I330" s="25"/>
      <c r="J330" s="121"/>
      <c r="K330" s="122">
        <v>2341</v>
      </c>
      <c r="L330" s="128"/>
      <c r="P330" s="125">
        <f t="shared" si="78"/>
        <v>1155456</v>
      </c>
      <c r="W330">
        <v>36.107999999999997</v>
      </c>
      <c r="X330">
        <v>1.04</v>
      </c>
      <c r="Y330">
        <f t="shared" si="80"/>
        <v>37.552320000000002</v>
      </c>
    </row>
    <row r="331" spans="1:25" ht="24.75" customHeight="1" x14ac:dyDescent="0.2">
      <c r="A331" s="110">
        <f t="shared" si="79"/>
        <v>277</v>
      </c>
      <c r="B331" s="23" t="s">
        <v>401</v>
      </c>
      <c r="C331" s="24" t="s">
        <v>36</v>
      </c>
      <c r="D331" s="111" t="s">
        <v>398</v>
      </c>
      <c r="E331" s="31" t="s">
        <v>15</v>
      </c>
      <c r="F331" s="27">
        <v>21.456</v>
      </c>
      <c r="G331" s="27">
        <v>17.88</v>
      </c>
      <c r="H331" s="28">
        <f t="shared" si="76"/>
        <v>0.19999999999999996</v>
      </c>
      <c r="I331" s="25"/>
      <c r="J331" s="121"/>
      <c r="K331" s="122">
        <v>2341</v>
      </c>
      <c r="L331" s="128"/>
      <c r="P331" s="125">
        <f t="shared" si="78"/>
        <v>686592</v>
      </c>
      <c r="W331">
        <v>21.456</v>
      </c>
      <c r="X331">
        <v>1.04</v>
      </c>
      <c r="Y331">
        <f t="shared" si="80"/>
        <v>22.314240000000002</v>
      </c>
    </row>
    <row r="332" spans="1:25" ht="24.75" customHeight="1" thickBot="1" x14ac:dyDescent="0.25">
      <c r="A332" s="110">
        <f t="shared" si="79"/>
        <v>278</v>
      </c>
      <c r="B332" s="23" t="s">
        <v>402</v>
      </c>
      <c r="C332" s="24" t="s">
        <v>36</v>
      </c>
      <c r="D332" s="111" t="s">
        <v>398</v>
      </c>
      <c r="E332" s="31" t="s">
        <v>15</v>
      </c>
      <c r="F332" s="27">
        <v>6.15</v>
      </c>
      <c r="G332" s="27">
        <v>5.9</v>
      </c>
      <c r="H332" s="28">
        <f t="shared" si="76"/>
        <v>4.237288135593209E-2</v>
      </c>
      <c r="I332" s="25">
        <v>23410009</v>
      </c>
      <c r="J332" s="121"/>
      <c r="K332" s="122">
        <v>2341</v>
      </c>
      <c r="L332" s="128"/>
      <c r="P332" s="125">
        <f t="shared" si="78"/>
        <v>196800</v>
      </c>
      <c r="W332">
        <v>6.15</v>
      </c>
      <c r="X332">
        <v>1.04</v>
      </c>
      <c r="Y332">
        <f t="shared" si="80"/>
        <v>6.3960000000000008</v>
      </c>
    </row>
    <row r="333" spans="1:25" ht="24" customHeight="1" thickBot="1" x14ac:dyDescent="0.25">
      <c r="A333" s="10" t="s">
        <v>403</v>
      </c>
      <c r="B333" s="163" t="s">
        <v>404</v>
      </c>
      <c r="C333" s="164"/>
      <c r="D333" s="164"/>
      <c r="E333" s="164"/>
      <c r="F333" s="164"/>
      <c r="G333" s="164"/>
      <c r="H333" s="165"/>
      <c r="I333" s="25"/>
      <c r="K333" s="122">
        <v>2341</v>
      </c>
      <c r="L333" s="120"/>
    </row>
    <row r="334" spans="1:25" ht="118.5" customHeight="1" x14ac:dyDescent="0.2">
      <c r="A334" s="110">
        <f>1+A332</f>
        <v>279</v>
      </c>
      <c r="B334" s="23" t="s">
        <v>405</v>
      </c>
      <c r="C334" s="24" t="s">
        <v>36</v>
      </c>
      <c r="D334" s="25">
        <v>2500</v>
      </c>
      <c r="E334" s="111" t="s">
        <v>26</v>
      </c>
      <c r="F334" s="129">
        <f t="shared" ref="F334:F337" si="83">+G334*1.2</f>
        <v>310.03199999999998</v>
      </c>
      <c r="G334" s="24">
        <v>258.36</v>
      </c>
      <c r="H334" s="127">
        <f t="shared" ref="H334:H343" si="84">IFERROR(+(F334/G334)-1,"--")</f>
        <v>0.19999999999999996</v>
      </c>
      <c r="I334" s="25"/>
      <c r="J334" s="121"/>
      <c r="K334" s="122">
        <v>2341</v>
      </c>
      <c r="L334" s="128"/>
      <c r="W334">
        <v>310.03199999999998</v>
      </c>
      <c r="X334">
        <v>1.04</v>
      </c>
      <c r="Y334">
        <f t="shared" si="80"/>
        <v>322.43327999999997</v>
      </c>
    </row>
    <row r="335" spans="1:25" ht="57" customHeight="1" x14ac:dyDescent="0.2">
      <c r="A335" s="110">
        <f t="shared" ref="A335:A343" si="85">+A334+1</f>
        <v>280</v>
      </c>
      <c r="B335" s="23" t="s">
        <v>406</v>
      </c>
      <c r="C335" s="24" t="s">
        <v>36</v>
      </c>
      <c r="D335" s="111" t="s">
        <v>398</v>
      </c>
      <c r="E335" s="111" t="s">
        <v>26</v>
      </c>
      <c r="F335" s="129">
        <f t="shared" si="83"/>
        <v>71.256</v>
      </c>
      <c r="G335" s="24">
        <v>59.38</v>
      </c>
      <c r="H335" s="127">
        <f t="shared" si="84"/>
        <v>0.19999999999999996</v>
      </c>
      <c r="I335" s="25"/>
      <c r="J335" s="121"/>
      <c r="K335" s="122">
        <v>2341</v>
      </c>
      <c r="L335" s="128"/>
      <c r="W335">
        <v>71.256</v>
      </c>
      <c r="X335">
        <v>1.04</v>
      </c>
      <c r="Y335">
        <f t="shared" si="80"/>
        <v>74.10624</v>
      </c>
    </row>
    <row r="336" spans="1:25" ht="12" customHeight="1" x14ac:dyDescent="0.2">
      <c r="A336" s="110">
        <f t="shared" si="85"/>
        <v>281</v>
      </c>
      <c r="B336" s="23" t="s">
        <v>407</v>
      </c>
      <c r="C336" s="24" t="s">
        <v>36</v>
      </c>
      <c r="D336" s="111" t="s">
        <v>398</v>
      </c>
      <c r="E336" s="111" t="s">
        <v>26</v>
      </c>
      <c r="F336" s="129">
        <f t="shared" si="83"/>
        <v>47.124000000000002</v>
      </c>
      <c r="G336" s="24">
        <v>39.270000000000003</v>
      </c>
      <c r="H336" s="127">
        <f t="shared" si="84"/>
        <v>0.19999999999999996</v>
      </c>
      <c r="I336" s="25"/>
      <c r="J336" s="121"/>
      <c r="K336" s="122">
        <v>2341</v>
      </c>
      <c r="L336" s="128"/>
      <c r="W336">
        <v>47.124000000000002</v>
      </c>
      <c r="X336">
        <v>1.04</v>
      </c>
      <c r="Y336">
        <f t="shared" si="80"/>
        <v>49.008960000000002</v>
      </c>
    </row>
    <row r="337" spans="1:25" ht="12" customHeight="1" x14ac:dyDescent="0.2">
      <c r="A337" s="110">
        <f t="shared" si="85"/>
        <v>282</v>
      </c>
      <c r="B337" s="23" t="s">
        <v>408</v>
      </c>
      <c r="C337" s="24" t="s">
        <v>36</v>
      </c>
      <c r="D337" s="111" t="s">
        <v>398</v>
      </c>
      <c r="E337" s="111" t="s">
        <v>251</v>
      </c>
      <c r="F337" s="129">
        <f t="shared" si="83"/>
        <v>62.436</v>
      </c>
      <c r="G337" s="24">
        <v>52.03</v>
      </c>
      <c r="H337" s="127">
        <f t="shared" si="84"/>
        <v>0.19999999999999996</v>
      </c>
      <c r="I337" s="25"/>
      <c r="J337" s="121"/>
      <c r="K337" s="122">
        <v>2341</v>
      </c>
      <c r="L337" s="128"/>
      <c r="W337">
        <v>62.436</v>
      </c>
      <c r="X337">
        <v>1.04</v>
      </c>
      <c r="Y337">
        <f t="shared" si="80"/>
        <v>64.933440000000004</v>
      </c>
    </row>
    <row r="338" spans="1:25" ht="118.5" customHeight="1" x14ac:dyDescent="0.2">
      <c r="A338" s="110">
        <f t="shared" si="85"/>
        <v>283</v>
      </c>
      <c r="B338" s="23" t="s">
        <v>409</v>
      </c>
      <c r="C338" s="24" t="s">
        <v>36</v>
      </c>
      <c r="D338" s="25">
        <v>600</v>
      </c>
      <c r="E338" s="31" t="s">
        <v>251</v>
      </c>
      <c r="F338" s="130">
        <v>156</v>
      </c>
      <c r="G338" s="27">
        <v>130</v>
      </c>
      <c r="H338" s="28">
        <f t="shared" si="84"/>
        <v>0.19999999999999996</v>
      </c>
      <c r="I338" s="25"/>
      <c r="J338" s="121"/>
      <c r="K338" s="122">
        <v>2341</v>
      </c>
      <c r="L338" s="128"/>
      <c r="W338">
        <v>156</v>
      </c>
      <c r="X338">
        <v>1.04</v>
      </c>
      <c r="Y338">
        <f t="shared" si="80"/>
        <v>162.24</v>
      </c>
    </row>
    <row r="339" spans="1:25" ht="12" customHeight="1" x14ac:dyDescent="0.2">
      <c r="A339" s="110">
        <f t="shared" si="85"/>
        <v>284</v>
      </c>
      <c r="B339" s="23" t="s">
        <v>410</v>
      </c>
      <c r="C339" s="24" t="s">
        <v>36</v>
      </c>
      <c r="D339" s="111" t="s">
        <v>398</v>
      </c>
      <c r="E339" s="31" t="s">
        <v>251</v>
      </c>
      <c r="F339" s="130">
        <v>50.291999999999994</v>
      </c>
      <c r="G339" s="27">
        <v>41.91</v>
      </c>
      <c r="H339" s="28">
        <f t="shared" si="84"/>
        <v>0.19999999999999996</v>
      </c>
      <c r="I339" s="25"/>
      <c r="J339" s="121"/>
      <c r="K339" s="122">
        <v>2341</v>
      </c>
      <c r="L339" s="128"/>
      <c r="W339">
        <v>50.291999999999994</v>
      </c>
      <c r="X339">
        <v>1.04</v>
      </c>
      <c r="Y339">
        <f t="shared" si="80"/>
        <v>52.303679999999993</v>
      </c>
    </row>
    <row r="340" spans="1:25" ht="24.75" customHeight="1" x14ac:dyDescent="0.2">
      <c r="A340" s="110">
        <f t="shared" si="85"/>
        <v>285</v>
      </c>
      <c r="B340" s="23" t="s">
        <v>407</v>
      </c>
      <c r="C340" s="24" t="s">
        <v>36</v>
      </c>
      <c r="D340" s="111" t="s">
        <v>398</v>
      </c>
      <c r="E340" s="31" t="s">
        <v>15</v>
      </c>
      <c r="F340" s="130">
        <v>23.76</v>
      </c>
      <c r="G340" s="27">
        <v>19.8</v>
      </c>
      <c r="H340" s="28">
        <f t="shared" si="84"/>
        <v>0.19999999999999996</v>
      </c>
      <c r="I340" s="25"/>
      <c r="J340" s="121"/>
      <c r="K340" s="122">
        <v>2341</v>
      </c>
      <c r="L340" s="128"/>
      <c r="W340">
        <v>23.76</v>
      </c>
      <c r="X340">
        <v>1.04</v>
      </c>
      <c r="Y340">
        <f t="shared" si="80"/>
        <v>24.710400000000003</v>
      </c>
    </row>
    <row r="341" spans="1:25" ht="24.75" customHeight="1" x14ac:dyDescent="0.2">
      <c r="A341" s="110">
        <f t="shared" si="85"/>
        <v>286</v>
      </c>
      <c r="B341" s="23" t="s">
        <v>408</v>
      </c>
      <c r="C341" s="24" t="s">
        <v>36</v>
      </c>
      <c r="D341" s="111" t="s">
        <v>398</v>
      </c>
      <c r="E341" s="31" t="s">
        <v>15</v>
      </c>
      <c r="F341" s="130">
        <v>35.64</v>
      </c>
      <c r="G341" s="27">
        <v>29.700000000000003</v>
      </c>
      <c r="H341" s="28">
        <f t="shared" si="84"/>
        <v>0.19999999999999996</v>
      </c>
      <c r="I341" s="25"/>
      <c r="J341" s="121"/>
      <c r="K341" s="122">
        <v>2341</v>
      </c>
      <c r="L341" s="128"/>
      <c r="W341">
        <v>35.64</v>
      </c>
      <c r="X341">
        <v>1.04</v>
      </c>
      <c r="Y341">
        <f t="shared" si="80"/>
        <v>37.065600000000003</v>
      </c>
    </row>
    <row r="342" spans="1:25" ht="24.75" customHeight="1" x14ac:dyDescent="0.2">
      <c r="A342" s="110">
        <f t="shared" si="85"/>
        <v>287</v>
      </c>
      <c r="B342" s="23" t="s">
        <v>411</v>
      </c>
      <c r="C342" s="24" t="s">
        <v>36</v>
      </c>
      <c r="D342" s="111" t="s">
        <v>398</v>
      </c>
      <c r="E342" s="31" t="s">
        <v>15</v>
      </c>
      <c r="F342" s="130">
        <v>36.107999999999997</v>
      </c>
      <c r="G342" s="27">
        <v>30.09</v>
      </c>
      <c r="H342" s="28">
        <f t="shared" si="84"/>
        <v>0.19999999999999996</v>
      </c>
      <c r="I342" s="25"/>
      <c r="J342" s="121"/>
      <c r="K342" s="122">
        <v>2341</v>
      </c>
      <c r="L342" s="128"/>
      <c r="W342">
        <v>36.107999999999997</v>
      </c>
      <c r="X342">
        <v>1.04</v>
      </c>
      <c r="Y342">
        <f t="shared" si="80"/>
        <v>37.552320000000002</v>
      </c>
    </row>
    <row r="343" spans="1:25" ht="24.75" customHeight="1" thickBot="1" x14ac:dyDescent="0.25">
      <c r="A343" s="110">
        <f t="shared" si="85"/>
        <v>288</v>
      </c>
      <c r="B343" s="23" t="s">
        <v>412</v>
      </c>
      <c r="C343" s="24" t="s">
        <v>36</v>
      </c>
      <c r="D343" s="111" t="s">
        <v>398</v>
      </c>
      <c r="E343" s="31" t="s">
        <v>15</v>
      </c>
      <c r="F343" s="130">
        <v>21.66</v>
      </c>
      <c r="G343" s="27">
        <v>18.05</v>
      </c>
      <c r="H343" s="28">
        <f t="shared" si="84"/>
        <v>0.19999999999999996</v>
      </c>
      <c r="I343" s="25"/>
      <c r="J343" s="121"/>
      <c r="K343" s="122">
        <v>2341</v>
      </c>
      <c r="L343" s="128"/>
      <c r="W343">
        <v>21.66</v>
      </c>
      <c r="X343">
        <v>1.04</v>
      </c>
      <c r="Y343">
        <f t="shared" si="80"/>
        <v>22.526400000000002</v>
      </c>
    </row>
    <row r="344" spans="1:25" ht="24" customHeight="1" thickBot="1" x14ac:dyDescent="0.25">
      <c r="A344" s="10" t="s">
        <v>413</v>
      </c>
      <c r="B344" s="163" t="s">
        <v>414</v>
      </c>
      <c r="C344" s="164"/>
      <c r="D344" s="164"/>
      <c r="E344" s="164"/>
      <c r="F344" s="164"/>
      <c r="G344" s="164"/>
      <c r="H344" s="165"/>
      <c r="I344" s="25"/>
      <c r="K344" s="122">
        <v>2341</v>
      </c>
      <c r="L344" s="120"/>
    </row>
    <row r="345" spans="1:25" ht="84" customHeight="1" x14ac:dyDescent="0.2">
      <c r="A345" s="110">
        <f>+A343+1</f>
        <v>289</v>
      </c>
      <c r="B345" s="23" t="s">
        <v>415</v>
      </c>
      <c r="C345" s="24" t="s">
        <v>36</v>
      </c>
      <c r="D345" s="25">
        <v>150</v>
      </c>
      <c r="E345" s="31" t="s">
        <v>26</v>
      </c>
      <c r="F345" s="114">
        <v>128.34</v>
      </c>
      <c r="G345" s="114">
        <v>106.95</v>
      </c>
      <c r="H345" s="127">
        <f t="shared" ref="H345:H347" si="86">IFERROR(+(F345/G345)-1,"--")</f>
        <v>0.19999999999999996</v>
      </c>
      <c r="I345" s="25"/>
      <c r="J345" s="121"/>
      <c r="K345" s="122">
        <v>2341</v>
      </c>
      <c r="L345" s="128"/>
      <c r="W345">
        <v>128.34</v>
      </c>
      <c r="X345">
        <v>1.04</v>
      </c>
      <c r="Y345">
        <f t="shared" si="80"/>
        <v>133.4736</v>
      </c>
    </row>
    <row r="346" spans="1:25" ht="12" customHeight="1" x14ac:dyDescent="0.2">
      <c r="A346" s="110">
        <f t="shared" ref="A346:A347" si="87">+A345+1</f>
        <v>290</v>
      </c>
      <c r="B346" s="23" t="s">
        <v>416</v>
      </c>
      <c r="C346" s="24" t="s">
        <v>36</v>
      </c>
      <c r="D346" s="27" t="e">
        <f t="shared" ref="D346:D347" si="88">+#REF!</f>
        <v>#REF!</v>
      </c>
      <c r="E346" s="31" t="s">
        <v>251</v>
      </c>
      <c r="F346" s="27">
        <v>26.835200000000004</v>
      </c>
      <c r="G346" s="27">
        <v>22.362666666666669</v>
      </c>
      <c r="H346" s="28">
        <f t="shared" si="86"/>
        <v>0.19999999999999996</v>
      </c>
      <c r="I346" s="25"/>
      <c r="J346" s="121"/>
      <c r="K346" s="122">
        <v>2341</v>
      </c>
      <c r="L346" s="128"/>
      <c r="W346">
        <v>26.835200000000004</v>
      </c>
      <c r="X346">
        <v>1.04</v>
      </c>
      <c r="Y346">
        <f t="shared" si="80"/>
        <v>27.908608000000005</v>
      </c>
    </row>
    <row r="347" spans="1:25" ht="12" customHeight="1" thickBot="1" x14ac:dyDescent="0.25">
      <c r="A347" s="110">
        <f t="shared" si="87"/>
        <v>291</v>
      </c>
      <c r="B347" s="23" t="s">
        <v>417</v>
      </c>
      <c r="C347" s="24" t="s">
        <v>36</v>
      </c>
      <c r="D347" s="27" t="e">
        <f t="shared" si="88"/>
        <v>#REF!</v>
      </c>
      <c r="E347" s="31" t="s">
        <v>15</v>
      </c>
      <c r="F347" s="27">
        <v>49</v>
      </c>
      <c r="G347" s="27">
        <v>31.19</v>
      </c>
      <c r="H347" s="28">
        <f t="shared" si="86"/>
        <v>0.57101635139467777</v>
      </c>
      <c r="I347" s="25"/>
      <c r="J347" s="121"/>
      <c r="K347" s="122">
        <v>2341</v>
      </c>
      <c r="L347" s="128"/>
      <c r="M347" s="109">
        <f>+F347+F346</f>
        <v>75.8352</v>
      </c>
      <c r="P347" s="83">
        <v>40000</v>
      </c>
      <c r="Q347" s="83" t="s">
        <v>418</v>
      </c>
      <c r="R347" s="83">
        <v>4</v>
      </c>
      <c r="S347" s="83">
        <f t="shared" ref="S347:S349" si="89">+P347*R347</f>
        <v>160000</v>
      </c>
      <c r="W347">
        <v>49</v>
      </c>
      <c r="X347">
        <v>1.04</v>
      </c>
      <c r="Y347">
        <f t="shared" si="80"/>
        <v>50.96</v>
      </c>
    </row>
    <row r="348" spans="1:25" ht="21.75" customHeight="1" thickBot="1" x14ac:dyDescent="0.25">
      <c r="A348" s="10" t="s">
        <v>419</v>
      </c>
      <c r="B348" s="163" t="s">
        <v>420</v>
      </c>
      <c r="C348" s="164"/>
      <c r="D348" s="164"/>
      <c r="E348" s="164"/>
      <c r="F348" s="164"/>
      <c r="G348" s="164"/>
      <c r="H348" s="165"/>
      <c r="I348" s="25"/>
      <c r="J348" s="121"/>
      <c r="K348" s="122">
        <v>2341</v>
      </c>
      <c r="L348" s="120"/>
      <c r="P348" s="83">
        <v>20000</v>
      </c>
      <c r="R348" s="83">
        <v>3</v>
      </c>
      <c r="S348" s="83">
        <f t="shared" si="89"/>
        <v>60000</v>
      </c>
      <c r="X348">
        <v>1.04</v>
      </c>
      <c r="Y348">
        <f t="shared" si="80"/>
        <v>0</v>
      </c>
    </row>
    <row r="349" spans="1:25" ht="75" customHeight="1" x14ac:dyDescent="0.2">
      <c r="A349" s="110">
        <f>1+A347</f>
        <v>292</v>
      </c>
      <c r="B349" s="23" t="s">
        <v>421</v>
      </c>
      <c r="C349" s="24" t="s">
        <v>36</v>
      </c>
      <c r="D349" s="25">
        <v>2500</v>
      </c>
      <c r="E349" s="111" t="s">
        <v>26</v>
      </c>
      <c r="F349" s="129">
        <f t="shared" ref="F349:F350" si="90">+G349*1.2</f>
        <v>179.82</v>
      </c>
      <c r="G349" s="129">
        <v>149.85</v>
      </c>
      <c r="H349" s="127">
        <f t="shared" ref="H349:H356" si="91">IFERROR(+(F349/G349)-1,"--")</f>
        <v>0.19999999999999996</v>
      </c>
      <c r="I349" s="25"/>
      <c r="J349" s="121"/>
      <c r="K349" s="122">
        <v>2341</v>
      </c>
      <c r="L349" s="131">
        <v>23410026</v>
      </c>
      <c r="P349" s="132">
        <v>150000</v>
      </c>
      <c r="R349" s="83">
        <v>3</v>
      </c>
      <c r="S349" s="83">
        <f t="shared" si="89"/>
        <v>450000</v>
      </c>
      <c r="W349">
        <v>179.82</v>
      </c>
      <c r="X349">
        <v>1.04</v>
      </c>
      <c r="Y349">
        <f t="shared" si="80"/>
        <v>187.0128</v>
      </c>
    </row>
    <row r="350" spans="1:25" ht="12" customHeight="1" x14ac:dyDescent="0.2">
      <c r="A350" s="110">
        <f t="shared" ref="A350:A356" si="92">+A349+1</f>
        <v>293</v>
      </c>
      <c r="B350" s="23" t="s">
        <v>422</v>
      </c>
      <c r="C350" s="24" t="s">
        <v>36</v>
      </c>
      <c r="D350" s="133" t="s">
        <v>398</v>
      </c>
      <c r="E350" s="111" t="s">
        <v>26</v>
      </c>
      <c r="F350" s="129">
        <f t="shared" si="90"/>
        <v>71.256</v>
      </c>
      <c r="G350" s="129">
        <v>59.38</v>
      </c>
      <c r="H350" s="127">
        <f t="shared" si="91"/>
        <v>0.19999999999999996</v>
      </c>
      <c r="I350" s="25"/>
      <c r="J350" s="121"/>
      <c r="K350" s="122">
        <v>2341</v>
      </c>
      <c r="L350" s="131">
        <v>23410027</v>
      </c>
      <c r="S350" s="132">
        <f>+SUM(S347:S349)</f>
        <v>670000</v>
      </c>
      <c r="T350" s="83">
        <f>+S350/31000</f>
        <v>21.612903225806452</v>
      </c>
      <c r="W350">
        <v>71.256</v>
      </c>
      <c r="X350">
        <v>1.04</v>
      </c>
      <c r="Y350">
        <f t="shared" si="80"/>
        <v>74.10624</v>
      </c>
    </row>
    <row r="351" spans="1:25" ht="12" customHeight="1" x14ac:dyDescent="0.2">
      <c r="A351" s="110">
        <f t="shared" si="92"/>
        <v>294</v>
      </c>
      <c r="B351" s="23" t="s">
        <v>407</v>
      </c>
      <c r="C351" s="24" t="s">
        <v>36</v>
      </c>
      <c r="D351" s="133" t="s">
        <v>423</v>
      </c>
      <c r="E351" s="111" t="s">
        <v>26</v>
      </c>
      <c r="F351" s="129">
        <v>27.323999999999998</v>
      </c>
      <c r="G351" s="129">
        <v>22.77</v>
      </c>
      <c r="H351" s="127">
        <f t="shared" si="91"/>
        <v>0.19999999999999996</v>
      </c>
      <c r="I351" s="25"/>
      <c r="J351" s="121"/>
      <c r="K351" s="122">
        <v>2341</v>
      </c>
      <c r="L351" s="131">
        <v>23410028</v>
      </c>
      <c r="W351">
        <v>27.323999999999998</v>
      </c>
      <c r="X351">
        <v>1.04</v>
      </c>
      <c r="Y351">
        <f t="shared" si="80"/>
        <v>28.41696</v>
      </c>
    </row>
    <row r="352" spans="1:25" ht="12" customHeight="1" x14ac:dyDescent="0.2">
      <c r="A352" s="110">
        <f t="shared" si="92"/>
        <v>295</v>
      </c>
      <c r="B352" s="23" t="s">
        <v>408</v>
      </c>
      <c r="C352" s="24" t="s">
        <v>36</v>
      </c>
      <c r="D352" s="133" t="s">
        <v>423</v>
      </c>
      <c r="E352" s="111" t="s">
        <v>251</v>
      </c>
      <c r="F352" s="129">
        <v>40.985999999999997</v>
      </c>
      <c r="G352" s="129">
        <v>34.155000000000001</v>
      </c>
      <c r="H352" s="127">
        <f t="shared" si="91"/>
        <v>0.19999999999999996</v>
      </c>
      <c r="I352" s="25"/>
      <c r="J352" s="121"/>
      <c r="K352" s="122">
        <v>2341</v>
      </c>
      <c r="L352" s="131">
        <v>23410029</v>
      </c>
      <c r="W352">
        <v>40.985999999999997</v>
      </c>
      <c r="X352">
        <v>1.04</v>
      </c>
      <c r="Y352">
        <f t="shared" si="80"/>
        <v>42.625439999999998</v>
      </c>
    </row>
    <row r="353" spans="1:25" ht="12" customHeight="1" x14ac:dyDescent="0.2">
      <c r="A353" s="110">
        <f t="shared" si="92"/>
        <v>296</v>
      </c>
      <c r="B353" s="23" t="s">
        <v>424</v>
      </c>
      <c r="C353" s="24" t="s">
        <v>36</v>
      </c>
      <c r="D353" s="25">
        <v>600</v>
      </c>
      <c r="E353" s="31" t="s">
        <v>251</v>
      </c>
      <c r="F353" s="130">
        <v>126.91200000000001</v>
      </c>
      <c r="G353" s="130">
        <v>105.76</v>
      </c>
      <c r="H353" s="28">
        <f t="shared" si="91"/>
        <v>0.19999999999999996</v>
      </c>
      <c r="I353" s="25"/>
      <c r="J353" s="121"/>
      <c r="K353" s="122">
        <v>2341</v>
      </c>
      <c r="L353" s="131">
        <v>23410030</v>
      </c>
      <c r="W353">
        <v>126.91200000000001</v>
      </c>
      <c r="X353">
        <v>1.04</v>
      </c>
      <c r="Y353">
        <f t="shared" si="80"/>
        <v>131.98848000000001</v>
      </c>
    </row>
    <row r="354" spans="1:25" ht="12" customHeight="1" x14ac:dyDescent="0.2">
      <c r="A354" s="110">
        <f t="shared" si="92"/>
        <v>297</v>
      </c>
      <c r="B354" s="23" t="s">
        <v>425</v>
      </c>
      <c r="C354" s="24" t="s">
        <v>36</v>
      </c>
      <c r="D354" s="133" t="s">
        <v>423</v>
      </c>
      <c r="E354" s="31" t="s">
        <v>251</v>
      </c>
      <c r="F354" s="130">
        <v>50.291999999999994</v>
      </c>
      <c r="G354" s="130">
        <v>41.91</v>
      </c>
      <c r="H354" s="28">
        <f t="shared" si="91"/>
        <v>0.19999999999999996</v>
      </c>
      <c r="I354" s="25"/>
      <c r="J354" s="121"/>
      <c r="K354" s="122">
        <v>2341</v>
      </c>
      <c r="L354" s="131">
        <v>23410031</v>
      </c>
      <c r="W354">
        <v>50.291999999999994</v>
      </c>
      <c r="X354">
        <v>1.04</v>
      </c>
      <c r="Y354">
        <f t="shared" si="80"/>
        <v>52.303679999999993</v>
      </c>
    </row>
    <row r="355" spans="1:25" ht="12" customHeight="1" x14ac:dyDescent="0.2">
      <c r="A355" s="110">
        <f t="shared" si="92"/>
        <v>298</v>
      </c>
      <c r="B355" s="23" t="s">
        <v>407</v>
      </c>
      <c r="C355" s="24" t="s">
        <v>36</v>
      </c>
      <c r="D355" s="133" t="s">
        <v>423</v>
      </c>
      <c r="E355" s="31" t="s">
        <v>15</v>
      </c>
      <c r="F355" s="130">
        <v>19.290624000000001</v>
      </c>
      <c r="G355" s="130">
        <v>16.075520000000001</v>
      </c>
      <c r="H355" s="28">
        <f t="shared" si="91"/>
        <v>0.19999999999999996</v>
      </c>
      <c r="I355" s="25"/>
      <c r="J355" s="121"/>
      <c r="K355" s="122">
        <v>2341</v>
      </c>
      <c r="L355" s="131">
        <v>23410032</v>
      </c>
      <c r="W355">
        <v>19.290624000000001</v>
      </c>
      <c r="X355">
        <v>1.04</v>
      </c>
      <c r="Y355">
        <f t="shared" si="80"/>
        <v>20.062248960000002</v>
      </c>
    </row>
    <row r="356" spans="1:25" ht="12" customHeight="1" thickBot="1" x14ac:dyDescent="0.25">
      <c r="A356" s="110">
        <f t="shared" si="92"/>
        <v>299</v>
      </c>
      <c r="B356" s="23" t="s">
        <v>408</v>
      </c>
      <c r="C356" s="24" t="s">
        <v>36</v>
      </c>
      <c r="D356" s="133" t="s">
        <v>423</v>
      </c>
      <c r="E356" s="31" t="s">
        <v>15</v>
      </c>
      <c r="F356" s="130">
        <v>28.935936000000002</v>
      </c>
      <c r="G356" s="130">
        <v>24.113280000000003</v>
      </c>
      <c r="H356" s="28">
        <f t="shared" si="91"/>
        <v>0.19999999999999996</v>
      </c>
      <c r="I356" s="25"/>
      <c r="J356" s="121"/>
      <c r="K356" s="122">
        <v>2341</v>
      </c>
      <c r="L356" s="131">
        <v>23410033</v>
      </c>
      <c r="W356">
        <v>28.935936000000002</v>
      </c>
      <c r="X356">
        <v>1.04</v>
      </c>
      <c r="Y356">
        <f t="shared" si="80"/>
        <v>30.093373440000004</v>
      </c>
    </row>
    <row r="357" spans="1:25" ht="21.75" customHeight="1" thickBot="1" x14ac:dyDescent="0.25">
      <c r="A357" s="10" t="s">
        <v>426</v>
      </c>
      <c r="B357" s="163" t="s">
        <v>427</v>
      </c>
      <c r="C357" s="164"/>
      <c r="D357" s="164"/>
      <c r="E357" s="164"/>
      <c r="F357" s="164"/>
      <c r="G357" s="164"/>
      <c r="H357" s="165"/>
      <c r="I357" s="25"/>
      <c r="J357" s="121"/>
      <c r="K357" s="122">
        <v>2341</v>
      </c>
      <c r="L357" s="120"/>
      <c r="P357" s="83">
        <v>20000</v>
      </c>
      <c r="R357" s="83">
        <v>3</v>
      </c>
      <c r="S357" s="83">
        <f>+P357*R357</f>
        <v>60000</v>
      </c>
      <c r="X357">
        <v>1.04</v>
      </c>
      <c r="Y357">
        <f t="shared" si="80"/>
        <v>0</v>
      </c>
    </row>
    <row r="358" spans="1:25" ht="12" customHeight="1" x14ac:dyDescent="0.2">
      <c r="A358" s="110">
        <f>+A356+1</f>
        <v>300</v>
      </c>
      <c r="B358" s="23" t="s">
        <v>428</v>
      </c>
      <c r="C358" s="110" t="s">
        <v>36</v>
      </c>
      <c r="D358" s="111" t="s">
        <v>429</v>
      </c>
      <c r="E358" s="134" t="s">
        <v>15</v>
      </c>
      <c r="F358" s="27">
        <v>52.800000000000004</v>
      </c>
      <c r="G358" s="27">
        <v>48</v>
      </c>
      <c r="H358" s="28">
        <f>IFERROR(+(F358/G358)-1,"--")</f>
        <v>0.10000000000000009</v>
      </c>
      <c r="I358" s="25"/>
      <c r="J358" s="121"/>
      <c r="K358" s="122">
        <v>2341</v>
      </c>
      <c r="L358" s="128"/>
      <c r="W358">
        <v>52.800000000000004</v>
      </c>
      <c r="X358">
        <v>1.04</v>
      </c>
      <c r="Y358">
        <f t="shared" si="80"/>
        <v>54.912000000000006</v>
      </c>
    </row>
    <row r="359" spans="1:25" ht="12" customHeight="1" x14ac:dyDescent="0.2">
      <c r="A359" s="110">
        <f>+A358+1</f>
        <v>301</v>
      </c>
      <c r="B359" s="23" t="s">
        <v>430</v>
      </c>
      <c r="C359" s="24" t="s">
        <v>36</v>
      </c>
      <c r="D359" s="30" t="s">
        <v>23</v>
      </c>
      <c r="E359" s="31" t="s">
        <v>15</v>
      </c>
      <c r="F359" s="27">
        <v>45.15</v>
      </c>
      <c r="G359" s="27"/>
      <c r="H359" s="28"/>
      <c r="I359" s="25"/>
      <c r="J359" s="121"/>
      <c r="K359" s="122">
        <v>2341</v>
      </c>
      <c r="L359" s="128"/>
      <c r="W359">
        <v>45.15</v>
      </c>
      <c r="X359">
        <v>1.04</v>
      </c>
      <c r="Y359">
        <f t="shared" si="80"/>
        <v>46.956000000000003</v>
      </c>
    </row>
    <row r="360" spans="1:25" ht="12" customHeight="1" thickBot="1" x14ac:dyDescent="0.25">
      <c r="A360" s="110" t="s">
        <v>576</v>
      </c>
      <c r="B360" s="23" t="s">
        <v>431</v>
      </c>
      <c r="C360" s="24"/>
      <c r="D360" s="114"/>
      <c r="E360" s="31"/>
      <c r="F360" s="27">
        <f>45.15*310.03/156</f>
        <v>89.729836538461527</v>
      </c>
      <c r="G360" s="27"/>
      <c r="H360" s="28"/>
      <c r="I360" s="25"/>
      <c r="J360" s="121"/>
      <c r="K360" s="122"/>
      <c r="L360" s="128"/>
      <c r="W360">
        <v>89.729836538461527</v>
      </c>
      <c r="X360">
        <v>1.04</v>
      </c>
      <c r="Y360">
        <f t="shared" si="80"/>
        <v>93.319029999999998</v>
      </c>
    </row>
    <row r="361" spans="1:25" ht="12" customHeight="1" thickBot="1" x14ac:dyDescent="0.25">
      <c r="A361" s="166" t="s">
        <v>432</v>
      </c>
      <c r="B361" s="164"/>
      <c r="C361" s="164"/>
      <c r="D361" s="164"/>
      <c r="E361" s="164"/>
      <c r="F361" s="164"/>
      <c r="G361" s="164"/>
      <c r="H361" s="165"/>
      <c r="I361" s="25"/>
      <c r="J361" s="121"/>
      <c r="K361" s="8"/>
      <c r="L361" s="120"/>
    </row>
    <row r="362" spans="1:25" ht="33.75" customHeight="1" x14ac:dyDescent="0.2">
      <c r="A362" s="110">
        <f>+A359+1</f>
        <v>302</v>
      </c>
      <c r="B362" s="23" t="s">
        <v>553</v>
      </c>
      <c r="C362" s="24" t="s">
        <v>44</v>
      </c>
      <c r="D362" s="114">
        <v>2</v>
      </c>
      <c r="E362" s="31" t="s">
        <v>15</v>
      </c>
      <c r="F362" s="27">
        <v>3.71</v>
      </c>
      <c r="G362" s="27">
        <v>3.5</v>
      </c>
      <c r="H362" s="28">
        <f t="shared" ref="H362:H366" si="93">IFERROR(+(F362/G362)-1,"--")</f>
        <v>6.0000000000000053E-2</v>
      </c>
      <c r="I362" s="25"/>
      <c r="J362" s="121"/>
      <c r="K362" s="28" t="s">
        <v>433</v>
      </c>
      <c r="L362" s="9"/>
      <c r="W362">
        <v>3.5</v>
      </c>
      <c r="X362">
        <v>1.06</v>
      </c>
      <c r="Y362">
        <f t="shared" si="80"/>
        <v>3.71</v>
      </c>
    </row>
    <row r="363" spans="1:25" ht="12" customHeight="1" x14ac:dyDescent="0.2">
      <c r="A363" s="135">
        <f t="shared" ref="A363:A367" si="94">+A362+1</f>
        <v>303</v>
      </c>
      <c r="B363" s="64" t="s">
        <v>434</v>
      </c>
      <c r="C363" s="65" t="s">
        <v>44</v>
      </c>
      <c r="D363" s="113" t="s">
        <v>23</v>
      </c>
      <c r="E363" s="67" t="s">
        <v>58</v>
      </c>
      <c r="F363" s="68">
        <v>2.52</v>
      </c>
      <c r="G363" s="68">
        <v>2.52</v>
      </c>
      <c r="H363" s="69">
        <f t="shared" si="93"/>
        <v>0</v>
      </c>
      <c r="I363" s="25"/>
      <c r="J363" s="121"/>
      <c r="K363" s="69" t="s">
        <v>433</v>
      </c>
      <c r="L363" s="9"/>
      <c r="W363">
        <v>2.52</v>
      </c>
      <c r="X363">
        <v>1.06</v>
      </c>
      <c r="Y363">
        <f t="shared" si="80"/>
        <v>2.6712000000000002</v>
      </c>
    </row>
    <row r="364" spans="1:25" ht="63" customHeight="1" x14ac:dyDescent="0.2">
      <c r="A364" s="135">
        <f t="shared" si="94"/>
        <v>304</v>
      </c>
      <c r="B364" s="23" t="s">
        <v>435</v>
      </c>
      <c r="C364" s="24" t="s">
        <v>44</v>
      </c>
      <c r="D364" s="30" t="s">
        <v>23</v>
      </c>
      <c r="E364" s="31" t="s">
        <v>190</v>
      </c>
      <c r="F364" s="27">
        <v>12.535</v>
      </c>
      <c r="G364" s="27">
        <v>11.5</v>
      </c>
      <c r="H364" s="28">
        <f t="shared" si="93"/>
        <v>9.000000000000008E-2</v>
      </c>
      <c r="I364" s="25"/>
      <c r="J364" s="121" t="s">
        <v>436</v>
      </c>
      <c r="K364" s="28" t="s">
        <v>433</v>
      </c>
      <c r="L364" s="9"/>
      <c r="W364">
        <v>12.535</v>
      </c>
      <c r="X364">
        <v>1.04</v>
      </c>
      <c r="Y364">
        <f t="shared" si="80"/>
        <v>13.0364</v>
      </c>
    </row>
    <row r="365" spans="1:25" ht="63" customHeight="1" x14ac:dyDescent="0.2">
      <c r="A365" s="135">
        <f t="shared" si="94"/>
        <v>305</v>
      </c>
      <c r="B365" s="23" t="s">
        <v>437</v>
      </c>
      <c r="C365" s="24" t="s">
        <v>44</v>
      </c>
      <c r="D365" s="30">
        <v>2</v>
      </c>
      <c r="E365" s="31" t="s">
        <v>15</v>
      </c>
      <c r="F365" s="27">
        <v>17.95</v>
      </c>
      <c r="G365" s="27">
        <v>0</v>
      </c>
      <c r="H365" s="28" t="str">
        <f t="shared" si="93"/>
        <v>--</v>
      </c>
      <c r="I365" s="25"/>
      <c r="J365" s="121"/>
      <c r="K365" s="28"/>
      <c r="L365" s="9"/>
      <c r="W365">
        <v>17.95</v>
      </c>
      <c r="X365">
        <v>1.06</v>
      </c>
      <c r="Y365">
        <f t="shared" si="80"/>
        <v>19.027000000000001</v>
      </c>
    </row>
    <row r="366" spans="1:25" ht="63" customHeight="1" x14ac:dyDescent="0.2">
      <c r="A366" s="135">
        <f t="shared" si="94"/>
        <v>306</v>
      </c>
      <c r="B366" s="23" t="s">
        <v>438</v>
      </c>
      <c r="C366" s="24" t="s">
        <v>44</v>
      </c>
      <c r="D366" s="30" t="s">
        <v>23</v>
      </c>
      <c r="E366" s="31" t="s">
        <v>111</v>
      </c>
      <c r="F366" s="27">
        <v>4.24</v>
      </c>
      <c r="G366" s="27">
        <v>0</v>
      </c>
      <c r="H366" s="28" t="str">
        <f t="shared" si="93"/>
        <v>--</v>
      </c>
      <c r="I366" s="25"/>
      <c r="J366" s="121"/>
      <c r="K366" s="28"/>
      <c r="L366" s="9"/>
      <c r="W366">
        <v>4.24</v>
      </c>
      <c r="X366">
        <v>1.06</v>
      </c>
      <c r="Y366">
        <f t="shared" si="80"/>
        <v>4.4944000000000006</v>
      </c>
    </row>
    <row r="367" spans="1:25" ht="63" customHeight="1" x14ac:dyDescent="0.2">
      <c r="A367" s="135">
        <f t="shared" si="94"/>
        <v>307</v>
      </c>
      <c r="B367" s="23" t="s">
        <v>465</v>
      </c>
      <c r="C367" s="24" t="s">
        <v>466</v>
      </c>
      <c r="D367" s="30" t="s">
        <v>23</v>
      </c>
      <c r="E367" s="31" t="s">
        <v>58</v>
      </c>
      <c r="F367" s="27">
        <v>6.9</v>
      </c>
      <c r="G367" s="27">
        <v>0</v>
      </c>
      <c r="H367" s="28" t="str">
        <f t="shared" ref="H367" si="95">IFERROR(+(F367/G367)-1,"--")</f>
        <v>--</v>
      </c>
      <c r="I367" s="25"/>
      <c r="J367" s="121"/>
      <c r="K367" s="28"/>
      <c r="L367" s="9"/>
      <c r="W367">
        <v>6.9</v>
      </c>
      <c r="X367">
        <v>1.06</v>
      </c>
      <c r="Y367">
        <f t="shared" si="80"/>
        <v>7.3140000000000009</v>
      </c>
    </row>
    <row r="368" spans="1:25" ht="63" customHeight="1" x14ac:dyDescent="0.2">
      <c r="A368" s="135">
        <v>308</v>
      </c>
      <c r="B368" s="23" t="s">
        <v>463</v>
      </c>
      <c r="C368" s="24" t="s">
        <v>23</v>
      </c>
      <c r="D368" s="30" t="s">
        <v>23</v>
      </c>
      <c r="E368" s="31" t="s">
        <v>111</v>
      </c>
      <c r="F368" s="27">
        <v>0.64</v>
      </c>
      <c r="G368" s="27"/>
      <c r="H368" s="28"/>
      <c r="I368" s="25"/>
      <c r="J368" s="121"/>
      <c r="K368" s="28"/>
      <c r="L368" s="9"/>
      <c r="W368">
        <v>0.64</v>
      </c>
      <c r="X368">
        <v>1.06</v>
      </c>
      <c r="Y368">
        <f t="shared" si="80"/>
        <v>0.6784</v>
      </c>
    </row>
    <row r="369" spans="1:25" ht="63" customHeight="1" x14ac:dyDescent="0.2">
      <c r="A369" s="135">
        <v>309</v>
      </c>
      <c r="B369" s="23" t="s">
        <v>471</v>
      </c>
      <c r="C369" s="24" t="s">
        <v>36</v>
      </c>
      <c r="D369" s="30" t="s">
        <v>464</v>
      </c>
      <c r="E369" s="31" t="s">
        <v>111</v>
      </c>
      <c r="F369" s="27">
        <v>1.98</v>
      </c>
      <c r="G369" s="27"/>
      <c r="H369" s="28" t="s">
        <v>470</v>
      </c>
      <c r="I369" s="25"/>
      <c r="J369" s="121"/>
      <c r="K369" s="28"/>
      <c r="L369" s="9"/>
      <c r="W369">
        <v>1.98</v>
      </c>
      <c r="X369">
        <v>1.06</v>
      </c>
      <c r="Y369">
        <f t="shared" si="80"/>
        <v>2.0988000000000002</v>
      </c>
    </row>
    <row r="370" spans="1:25" ht="63" customHeight="1" x14ac:dyDescent="0.2">
      <c r="A370" s="135">
        <v>310</v>
      </c>
      <c r="B370" s="23" t="s">
        <v>485</v>
      </c>
      <c r="C370" s="24" t="s">
        <v>36</v>
      </c>
      <c r="D370" s="30" t="s">
        <v>464</v>
      </c>
      <c r="E370" s="31" t="s">
        <v>58</v>
      </c>
      <c r="F370" s="27">
        <v>2</v>
      </c>
      <c r="G370" s="27"/>
      <c r="H370" s="28"/>
      <c r="I370" s="25"/>
      <c r="J370" s="121"/>
      <c r="K370" s="28"/>
      <c r="L370" s="9"/>
      <c r="W370">
        <v>2</v>
      </c>
      <c r="X370">
        <v>1.06</v>
      </c>
      <c r="Y370">
        <f t="shared" si="80"/>
        <v>2.12</v>
      </c>
    </row>
    <row r="371" spans="1:25" ht="63" customHeight="1" x14ac:dyDescent="0.2">
      <c r="A371" s="135">
        <v>311</v>
      </c>
      <c r="B371" s="23" t="s">
        <v>469</v>
      </c>
      <c r="C371" s="24" t="s">
        <v>467</v>
      </c>
      <c r="D371" s="30" t="s">
        <v>464</v>
      </c>
      <c r="E371" s="31" t="s">
        <v>58</v>
      </c>
      <c r="F371" s="27">
        <v>2.5</v>
      </c>
      <c r="G371" s="27"/>
      <c r="H371" s="28"/>
      <c r="I371" s="25"/>
      <c r="J371" s="121"/>
      <c r="K371" s="28"/>
      <c r="L371" s="9"/>
      <c r="W371">
        <v>2.5</v>
      </c>
      <c r="X371">
        <v>1.06</v>
      </c>
      <c r="Y371">
        <f t="shared" si="80"/>
        <v>2.6500000000000004</v>
      </c>
    </row>
    <row r="372" spans="1:25" ht="63" customHeight="1" x14ac:dyDescent="0.2">
      <c r="A372" s="135">
        <v>312</v>
      </c>
      <c r="B372" s="23" t="s">
        <v>468</v>
      </c>
      <c r="C372" s="24" t="s">
        <v>467</v>
      </c>
      <c r="D372" s="30" t="s">
        <v>464</v>
      </c>
      <c r="E372" s="31" t="s">
        <v>58</v>
      </c>
      <c r="F372" s="27">
        <v>2.5</v>
      </c>
      <c r="G372" s="27"/>
      <c r="H372" s="28"/>
      <c r="I372" s="25"/>
      <c r="J372" s="121"/>
      <c r="K372" s="28"/>
      <c r="L372" s="9"/>
      <c r="W372">
        <v>2.5</v>
      </c>
      <c r="X372">
        <v>1.06</v>
      </c>
      <c r="Y372">
        <f t="shared" si="80"/>
        <v>2.6500000000000004</v>
      </c>
    </row>
    <row r="373" spans="1:25" ht="63" customHeight="1" x14ac:dyDescent="0.2">
      <c r="A373" s="135">
        <v>313</v>
      </c>
      <c r="B373" s="23" t="s">
        <v>473</v>
      </c>
      <c r="C373" s="24" t="s">
        <v>44</v>
      </c>
      <c r="D373" s="30" t="s">
        <v>464</v>
      </c>
      <c r="E373" s="31" t="s">
        <v>472</v>
      </c>
      <c r="F373" s="27">
        <v>4.1900000000000004</v>
      </c>
      <c r="G373" s="27"/>
      <c r="H373" s="28">
        <v>0.02</v>
      </c>
      <c r="I373" s="25"/>
      <c r="J373" s="121"/>
      <c r="K373" s="28" t="s">
        <v>601</v>
      </c>
      <c r="L373" s="9"/>
      <c r="W373">
        <v>4.1100000000000003</v>
      </c>
      <c r="X373">
        <v>1.02</v>
      </c>
      <c r="Y373">
        <f t="shared" si="80"/>
        <v>4.1922000000000006</v>
      </c>
    </row>
    <row r="374" spans="1:25" ht="63" customHeight="1" x14ac:dyDescent="0.2">
      <c r="A374" s="135">
        <v>314</v>
      </c>
      <c r="B374" s="23" t="s">
        <v>574</v>
      </c>
      <c r="C374" s="24" t="s">
        <v>44</v>
      </c>
      <c r="D374" s="30" t="s">
        <v>464</v>
      </c>
      <c r="E374" s="31" t="s">
        <v>58</v>
      </c>
      <c r="F374" s="27">
        <v>15</v>
      </c>
      <c r="G374" s="27"/>
      <c r="H374" s="28" t="s">
        <v>589</v>
      </c>
      <c r="I374" s="25"/>
      <c r="J374" s="121"/>
      <c r="K374" s="28"/>
      <c r="L374" s="9"/>
      <c r="W374">
        <v>15</v>
      </c>
      <c r="X374">
        <v>1</v>
      </c>
      <c r="Y374">
        <f t="shared" si="80"/>
        <v>15</v>
      </c>
    </row>
    <row r="375" spans="1:25" ht="63" customHeight="1" x14ac:dyDescent="0.2">
      <c r="A375" s="135">
        <v>315</v>
      </c>
      <c r="B375" s="23" t="s">
        <v>476</v>
      </c>
      <c r="C375" s="24" t="s">
        <v>532</v>
      </c>
      <c r="D375" s="30" t="s">
        <v>23</v>
      </c>
      <c r="E375" s="31" t="s">
        <v>26</v>
      </c>
      <c r="F375" s="27">
        <v>5.22</v>
      </c>
      <c r="G375" s="27"/>
      <c r="H375" s="28"/>
      <c r="I375" s="25"/>
      <c r="J375" s="121"/>
      <c r="K375" s="28"/>
      <c r="L375" s="9"/>
      <c r="W375">
        <v>5.22</v>
      </c>
      <c r="X375">
        <v>1.06</v>
      </c>
      <c r="Y375">
        <f t="shared" si="80"/>
        <v>5.5331999999999999</v>
      </c>
    </row>
    <row r="376" spans="1:25" ht="63" customHeight="1" x14ac:dyDescent="0.2">
      <c r="A376" s="135">
        <v>316</v>
      </c>
      <c r="B376" s="23" t="s">
        <v>478</v>
      </c>
      <c r="C376" s="24" t="s">
        <v>44</v>
      </c>
      <c r="D376" s="30" t="s">
        <v>23</v>
      </c>
      <c r="E376" s="31" t="s">
        <v>26</v>
      </c>
      <c r="F376" s="27">
        <v>2.5</v>
      </c>
      <c r="G376" s="27"/>
      <c r="H376" s="28"/>
      <c r="I376" s="25"/>
      <c r="J376" s="121"/>
      <c r="K376" s="28"/>
      <c r="L376" s="9"/>
      <c r="W376">
        <v>2.5</v>
      </c>
      <c r="X376">
        <v>1</v>
      </c>
      <c r="Y376">
        <f t="shared" si="80"/>
        <v>2.5</v>
      </c>
    </row>
    <row r="377" spans="1:25" ht="63" customHeight="1" x14ac:dyDescent="0.2">
      <c r="A377" s="135">
        <v>317</v>
      </c>
      <c r="B377" s="23" t="s">
        <v>477</v>
      </c>
      <c r="C377" s="24" t="s">
        <v>23</v>
      </c>
      <c r="D377" s="30">
        <v>20</v>
      </c>
      <c r="E377" s="31" t="s">
        <v>26</v>
      </c>
      <c r="F377" s="27">
        <v>3</v>
      </c>
      <c r="G377" s="27"/>
      <c r="H377" s="28"/>
      <c r="I377" s="25"/>
      <c r="J377" s="121"/>
      <c r="K377" s="28"/>
      <c r="L377" s="9"/>
      <c r="W377">
        <v>3</v>
      </c>
      <c r="X377">
        <v>1.06</v>
      </c>
      <c r="Y377">
        <f t="shared" si="80"/>
        <v>3.18</v>
      </c>
    </row>
    <row r="378" spans="1:25" ht="63" customHeight="1" x14ac:dyDescent="0.2">
      <c r="A378" s="135">
        <v>318</v>
      </c>
      <c r="B378" s="23" t="s">
        <v>499</v>
      </c>
      <c r="C378" s="24" t="s">
        <v>533</v>
      </c>
      <c r="D378" s="30">
        <v>30</v>
      </c>
      <c r="E378" s="31" t="s">
        <v>58</v>
      </c>
      <c r="F378" s="27">
        <v>1.58</v>
      </c>
      <c r="G378" s="27"/>
      <c r="H378" s="28"/>
      <c r="I378" s="25"/>
      <c r="J378" s="121"/>
      <c r="K378" s="28"/>
      <c r="L378" s="9"/>
      <c r="W378">
        <v>1.58</v>
      </c>
      <c r="X378">
        <v>1.06</v>
      </c>
      <c r="Y378">
        <f t="shared" si="80"/>
        <v>1.6748000000000001</v>
      </c>
    </row>
    <row r="379" spans="1:25" ht="63" customHeight="1" x14ac:dyDescent="0.2">
      <c r="A379" s="135">
        <v>319</v>
      </c>
      <c r="B379" s="23" t="s">
        <v>484</v>
      </c>
      <c r="C379" s="24" t="s">
        <v>483</v>
      </c>
      <c r="D379" s="30" t="s">
        <v>23</v>
      </c>
      <c r="E379" s="31" t="s">
        <v>15</v>
      </c>
      <c r="F379" s="27">
        <v>25</v>
      </c>
      <c r="G379" s="27"/>
      <c r="H379" s="28"/>
      <c r="I379" s="25"/>
      <c r="J379" s="121"/>
      <c r="K379" s="28"/>
      <c r="L379" s="9"/>
      <c r="W379">
        <v>25</v>
      </c>
      <c r="X379">
        <v>1.06</v>
      </c>
      <c r="Y379">
        <f t="shared" si="80"/>
        <v>26.5</v>
      </c>
    </row>
    <row r="380" spans="1:25" ht="63" customHeight="1" x14ac:dyDescent="0.2">
      <c r="A380" s="135">
        <v>320</v>
      </c>
      <c r="B380" s="23" t="s">
        <v>490</v>
      </c>
      <c r="C380" s="24" t="s">
        <v>23</v>
      </c>
      <c r="D380" s="30" t="s">
        <v>398</v>
      </c>
      <c r="E380" s="31" t="s">
        <v>15</v>
      </c>
      <c r="F380" s="27">
        <v>4</v>
      </c>
      <c r="G380" s="27"/>
      <c r="H380" s="28"/>
      <c r="I380" s="25"/>
      <c r="J380" s="121"/>
      <c r="K380" s="28"/>
      <c r="L380" s="9"/>
      <c r="W380">
        <v>4</v>
      </c>
      <c r="X380">
        <v>1.06</v>
      </c>
      <c r="Y380">
        <f t="shared" si="80"/>
        <v>4.24</v>
      </c>
    </row>
    <row r="381" spans="1:25" ht="63" customHeight="1" x14ac:dyDescent="0.2">
      <c r="A381" s="135">
        <v>321</v>
      </c>
      <c r="B381" s="23" t="s">
        <v>491</v>
      </c>
      <c r="C381" s="24" t="s">
        <v>534</v>
      </c>
      <c r="D381" s="30" t="s">
        <v>398</v>
      </c>
      <c r="E381" s="31" t="s">
        <v>58</v>
      </c>
      <c r="F381" s="27">
        <v>8</v>
      </c>
      <c r="G381" s="27"/>
      <c r="H381" s="28"/>
      <c r="I381" s="25"/>
      <c r="J381" s="121"/>
      <c r="K381" s="28"/>
      <c r="L381" s="9"/>
      <c r="W381">
        <v>8</v>
      </c>
      <c r="X381">
        <v>1.06</v>
      </c>
      <c r="Y381">
        <f t="shared" si="80"/>
        <v>8.48</v>
      </c>
    </row>
    <row r="382" spans="1:25" ht="63" customHeight="1" x14ac:dyDescent="0.2">
      <c r="A382" s="135">
        <v>322</v>
      </c>
      <c r="B382" s="23" t="s">
        <v>492</v>
      </c>
      <c r="C382" s="24" t="s">
        <v>535</v>
      </c>
      <c r="D382" s="30" t="s">
        <v>23</v>
      </c>
      <c r="E382" s="31" t="s">
        <v>26</v>
      </c>
      <c r="F382" s="27">
        <v>11.61</v>
      </c>
      <c r="G382" s="27">
        <v>8.19</v>
      </c>
      <c r="H382" s="28"/>
      <c r="I382" s="25"/>
      <c r="J382" s="121"/>
      <c r="K382" s="28"/>
      <c r="L382" s="9"/>
      <c r="W382">
        <v>11.61</v>
      </c>
      <c r="X382">
        <v>1.06</v>
      </c>
      <c r="Y382">
        <f t="shared" si="80"/>
        <v>12.3066</v>
      </c>
    </row>
    <row r="383" spans="1:25" ht="63" customHeight="1" x14ac:dyDescent="0.2">
      <c r="A383" s="135">
        <v>323</v>
      </c>
      <c r="B383" s="23" t="s">
        <v>493</v>
      </c>
      <c r="C383" s="24" t="s">
        <v>536</v>
      </c>
      <c r="D383" s="30">
        <v>2</v>
      </c>
      <c r="E383" s="31" t="s">
        <v>15</v>
      </c>
      <c r="F383" s="27">
        <v>7.12</v>
      </c>
      <c r="G383" s="27"/>
      <c r="H383" s="28"/>
      <c r="I383" s="25"/>
      <c r="J383" s="121"/>
      <c r="K383" s="28"/>
      <c r="L383" s="9"/>
      <c r="W383">
        <v>7.12</v>
      </c>
      <c r="X383">
        <v>1.06</v>
      </c>
      <c r="Y383">
        <f t="shared" si="80"/>
        <v>7.5472000000000001</v>
      </c>
    </row>
    <row r="384" spans="1:25" ht="63" customHeight="1" x14ac:dyDescent="0.2">
      <c r="A384" s="135">
        <v>324</v>
      </c>
      <c r="B384" s="23" t="s">
        <v>495</v>
      </c>
      <c r="C384" s="24" t="s">
        <v>537</v>
      </c>
      <c r="D384" s="30" t="s">
        <v>23</v>
      </c>
      <c r="E384" s="31" t="s">
        <v>58</v>
      </c>
      <c r="F384" s="27">
        <v>6.62</v>
      </c>
      <c r="G384" s="27"/>
      <c r="H384" s="28"/>
      <c r="I384" s="25"/>
      <c r="J384" s="121"/>
      <c r="K384" s="28"/>
      <c r="L384" s="9"/>
      <c r="W384">
        <v>6.62</v>
      </c>
      <c r="X384">
        <v>1.06</v>
      </c>
      <c r="Y384">
        <f t="shared" si="80"/>
        <v>7.0172000000000008</v>
      </c>
    </row>
    <row r="385" spans="1:25" ht="63" customHeight="1" x14ac:dyDescent="0.2">
      <c r="A385" s="135">
        <v>325</v>
      </c>
      <c r="B385" s="23" t="s">
        <v>497</v>
      </c>
      <c r="C385" s="24" t="s">
        <v>496</v>
      </c>
      <c r="D385" s="30" t="s">
        <v>23</v>
      </c>
      <c r="E385" s="31" t="s">
        <v>58</v>
      </c>
      <c r="F385" s="27">
        <v>0.6</v>
      </c>
      <c r="G385" s="27"/>
      <c r="H385" s="28"/>
      <c r="I385" s="25"/>
      <c r="J385" s="121"/>
      <c r="K385" s="28"/>
      <c r="L385" s="9"/>
      <c r="W385">
        <v>0.6</v>
      </c>
      <c r="X385">
        <v>1.06</v>
      </c>
      <c r="Y385">
        <f t="shared" si="80"/>
        <v>0.63600000000000001</v>
      </c>
    </row>
    <row r="386" spans="1:25" ht="63" customHeight="1" x14ac:dyDescent="0.2">
      <c r="A386" s="135">
        <v>326</v>
      </c>
      <c r="B386" s="23" t="s">
        <v>498</v>
      </c>
      <c r="C386" s="24" t="s">
        <v>537</v>
      </c>
      <c r="D386" s="30" t="s">
        <v>23</v>
      </c>
      <c r="E386" s="31" t="s">
        <v>58</v>
      </c>
      <c r="F386" s="27">
        <v>5.58</v>
      </c>
      <c r="G386" s="27"/>
      <c r="H386" s="28"/>
      <c r="I386" s="25"/>
      <c r="J386" s="121"/>
      <c r="K386" s="28"/>
      <c r="L386" s="9"/>
      <c r="W386">
        <v>5.58</v>
      </c>
      <c r="X386">
        <v>1.06</v>
      </c>
      <c r="Y386">
        <f t="shared" si="80"/>
        <v>5.9148000000000005</v>
      </c>
    </row>
    <row r="387" spans="1:25" ht="63" customHeight="1" x14ac:dyDescent="0.2">
      <c r="A387" s="135">
        <v>327</v>
      </c>
      <c r="B387" s="23" t="s">
        <v>494</v>
      </c>
      <c r="C387" s="24" t="s">
        <v>496</v>
      </c>
      <c r="D387" s="30" t="s">
        <v>23</v>
      </c>
      <c r="E387" s="31" t="s">
        <v>58</v>
      </c>
      <c r="F387" s="27">
        <v>0.6</v>
      </c>
      <c r="G387" s="27"/>
      <c r="H387" s="28"/>
      <c r="I387" s="25"/>
      <c r="J387" s="121"/>
      <c r="K387" s="28"/>
      <c r="L387" s="9"/>
      <c r="W387">
        <v>0.6</v>
      </c>
      <c r="X387">
        <v>1.06</v>
      </c>
      <c r="Y387">
        <f t="shared" si="80"/>
        <v>0.63600000000000001</v>
      </c>
    </row>
    <row r="388" spans="1:25" ht="63" customHeight="1" x14ac:dyDescent="0.2">
      <c r="A388" s="135">
        <v>328</v>
      </c>
      <c r="B388" s="23" t="s">
        <v>500</v>
      </c>
      <c r="C388" s="24" t="s">
        <v>501</v>
      </c>
      <c r="D388" s="30">
        <v>0.5</v>
      </c>
      <c r="E388" s="31" t="s">
        <v>26</v>
      </c>
      <c r="F388" s="27">
        <v>28</v>
      </c>
      <c r="G388" s="27"/>
      <c r="H388" s="28"/>
      <c r="I388" s="25"/>
      <c r="J388" s="121"/>
      <c r="K388" s="28"/>
      <c r="L388" s="9"/>
      <c r="W388">
        <v>28</v>
      </c>
      <c r="X388">
        <v>1.06</v>
      </c>
      <c r="Y388">
        <f t="shared" si="80"/>
        <v>29.68</v>
      </c>
    </row>
    <row r="389" spans="1:25" ht="63" customHeight="1" x14ac:dyDescent="0.2">
      <c r="A389" s="135">
        <v>329</v>
      </c>
      <c r="B389" s="23" t="s">
        <v>605</v>
      </c>
      <c r="C389" s="24" t="s">
        <v>502</v>
      </c>
      <c r="D389" s="30">
        <v>0.5</v>
      </c>
      <c r="E389" s="31" t="s">
        <v>26</v>
      </c>
      <c r="F389" s="27">
        <v>17</v>
      </c>
      <c r="G389" s="27"/>
      <c r="H389" s="28"/>
      <c r="I389" s="25"/>
      <c r="J389" s="121"/>
      <c r="K389" s="28"/>
      <c r="L389" s="9"/>
      <c r="W389">
        <v>17</v>
      </c>
      <c r="X389">
        <v>1.06</v>
      </c>
      <c r="Y389">
        <f t="shared" si="80"/>
        <v>18.02</v>
      </c>
    </row>
    <row r="390" spans="1:25" ht="63" customHeight="1" x14ac:dyDescent="0.2">
      <c r="A390" s="135">
        <v>330</v>
      </c>
      <c r="B390" s="23" t="s">
        <v>539</v>
      </c>
      <c r="C390" s="24" t="s">
        <v>23</v>
      </c>
      <c r="D390" s="30" t="s">
        <v>23</v>
      </c>
      <c r="E390" s="31" t="s">
        <v>58</v>
      </c>
      <c r="F390" s="27">
        <v>2</v>
      </c>
      <c r="G390" s="27"/>
      <c r="H390" s="28"/>
      <c r="I390" s="25"/>
      <c r="J390" s="121"/>
      <c r="K390" s="28"/>
      <c r="L390" s="9"/>
      <c r="W390">
        <v>2</v>
      </c>
      <c r="X390">
        <v>1.06</v>
      </c>
      <c r="Y390">
        <f t="shared" ref="Y390:Y412" si="96">W390*X390</f>
        <v>2.12</v>
      </c>
    </row>
    <row r="391" spans="1:25" ht="63" customHeight="1" x14ac:dyDescent="0.2">
      <c r="A391" s="135">
        <v>331</v>
      </c>
      <c r="B391" s="23" t="s">
        <v>540</v>
      </c>
      <c r="C391" s="24" t="s">
        <v>36</v>
      </c>
      <c r="D391" s="30">
        <v>1000</v>
      </c>
      <c r="E391" s="31" t="s">
        <v>15</v>
      </c>
      <c r="F391" s="27">
        <v>20</v>
      </c>
      <c r="G391" s="27"/>
      <c r="H391" s="28"/>
      <c r="I391" s="25"/>
      <c r="J391" s="121"/>
      <c r="K391" s="28"/>
      <c r="L391" s="9"/>
      <c r="W391">
        <v>20</v>
      </c>
      <c r="X391">
        <v>1</v>
      </c>
      <c r="Y391">
        <f t="shared" si="96"/>
        <v>20</v>
      </c>
    </row>
    <row r="392" spans="1:25" ht="63" customHeight="1" x14ac:dyDescent="0.2">
      <c r="A392" s="135">
        <v>332</v>
      </c>
      <c r="B392" s="23" t="s">
        <v>541</v>
      </c>
      <c r="C392" s="24" t="str">
        <f>+C131</f>
        <v>Basado en ASTM D4767-11 (2020)</v>
      </c>
      <c r="D392" s="30">
        <v>8</v>
      </c>
      <c r="E392" s="31" t="str">
        <f>+E131</f>
        <v>c/probeta</v>
      </c>
      <c r="F392" s="27">
        <v>20.98</v>
      </c>
      <c r="G392" s="27"/>
      <c r="H392" s="28"/>
      <c r="I392" s="25"/>
      <c r="J392" s="121"/>
      <c r="K392" s="28"/>
      <c r="L392" s="9"/>
      <c r="W392">
        <v>20.98</v>
      </c>
      <c r="X392">
        <v>1.06</v>
      </c>
      <c r="Y392">
        <f t="shared" si="96"/>
        <v>22.238800000000001</v>
      </c>
    </row>
    <row r="393" spans="1:25" ht="63" customHeight="1" x14ac:dyDescent="0.2">
      <c r="A393" s="135">
        <v>333</v>
      </c>
      <c r="B393" s="23" t="s">
        <v>542</v>
      </c>
      <c r="C393" s="24" t="str">
        <f t="shared" ref="C393:E394" si="97">+C136</f>
        <v>Proced. Interno</v>
      </c>
      <c r="D393" s="30" t="str">
        <f t="shared" si="97"/>
        <v>---</v>
      </c>
      <c r="E393" s="31" t="str">
        <f t="shared" si="97"/>
        <v>c/día</v>
      </c>
      <c r="F393" s="27">
        <v>3.05</v>
      </c>
      <c r="G393" s="27"/>
      <c r="H393" s="28"/>
      <c r="I393" s="25"/>
      <c r="J393" s="121"/>
      <c r="K393" s="28"/>
      <c r="L393" s="9"/>
      <c r="W393">
        <v>3.05</v>
      </c>
      <c r="X393">
        <v>1.06</v>
      </c>
      <c r="Y393">
        <f t="shared" si="96"/>
        <v>3.2330000000000001</v>
      </c>
    </row>
    <row r="394" spans="1:25" ht="63" customHeight="1" x14ac:dyDescent="0.2">
      <c r="A394" s="135">
        <v>334</v>
      </c>
      <c r="B394" s="23" t="s">
        <v>150</v>
      </c>
      <c r="C394" s="24" t="str">
        <f t="shared" si="97"/>
        <v>Proced. Interno</v>
      </c>
      <c r="D394" s="30" t="str">
        <f t="shared" si="97"/>
        <v>---</v>
      </c>
      <c r="E394" s="31" t="str">
        <f t="shared" si="97"/>
        <v>c/hora</v>
      </c>
      <c r="F394" s="27">
        <v>0.8</v>
      </c>
      <c r="G394" s="27"/>
      <c r="H394" s="28"/>
      <c r="I394" s="25"/>
      <c r="J394" s="121"/>
      <c r="K394" s="28"/>
      <c r="L394" s="9"/>
      <c r="W394">
        <v>0.8</v>
      </c>
      <c r="X394">
        <v>1.06</v>
      </c>
      <c r="Y394">
        <f t="shared" si="96"/>
        <v>0.84800000000000009</v>
      </c>
    </row>
    <row r="395" spans="1:25" ht="63" customHeight="1" x14ac:dyDescent="0.2">
      <c r="A395" s="135">
        <v>335</v>
      </c>
      <c r="B395" s="23" t="s">
        <v>543</v>
      </c>
      <c r="C395" s="24" t="s">
        <v>36</v>
      </c>
      <c r="D395" s="30">
        <v>0.5</v>
      </c>
      <c r="E395" s="31" t="s">
        <v>26</v>
      </c>
      <c r="F395" s="27">
        <v>38.200000000000003</v>
      </c>
      <c r="G395" s="27"/>
      <c r="H395" s="28"/>
      <c r="I395" s="25"/>
      <c r="J395" s="121"/>
      <c r="K395" s="28"/>
      <c r="L395" s="9"/>
      <c r="W395">
        <v>38.200000000000003</v>
      </c>
      <c r="X395">
        <v>1.06</v>
      </c>
      <c r="Y395">
        <f t="shared" si="96"/>
        <v>40.492000000000004</v>
      </c>
    </row>
    <row r="396" spans="1:25" ht="63" customHeight="1" x14ac:dyDescent="0.2">
      <c r="A396" s="135">
        <v>336</v>
      </c>
      <c r="B396" s="23" t="s">
        <v>545</v>
      </c>
      <c r="C396" s="24" t="s">
        <v>23</v>
      </c>
      <c r="D396" s="30" t="s">
        <v>546</v>
      </c>
      <c r="E396" s="31" t="s">
        <v>544</v>
      </c>
      <c r="F396" s="27">
        <v>30</v>
      </c>
      <c r="G396" s="27"/>
      <c r="H396" s="28"/>
      <c r="I396" s="25"/>
      <c r="J396" s="121"/>
      <c r="K396" s="28"/>
      <c r="L396" s="9"/>
      <c r="W396">
        <v>30</v>
      </c>
      <c r="X396">
        <v>1.06</v>
      </c>
      <c r="Y396">
        <f t="shared" si="96"/>
        <v>31.8</v>
      </c>
    </row>
    <row r="397" spans="1:25" ht="63" customHeight="1" x14ac:dyDescent="0.2">
      <c r="A397" s="135">
        <v>337</v>
      </c>
      <c r="B397" s="23" t="s">
        <v>547</v>
      </c>
      <c r="C397" s="24"/>
      <c r="D397" s="30" t="s">
        <v>548</v>
      </c>
      <c r="E397" s="31" t="s">
        <v>544</v>
      </c>
      <c r="F397" s="27">
        <v>6</v>
      </c>
      <c r="G397" s="27"/>
      <c r="H397" s="28"/>
      <c r="I397" s="25"/>
      <c r="J397" s="121"/>
      <c r="K397" s="28"/>
      <c r="L397" s="9"/>
      <c r="W397">
        <v>6</v>
      </c>
      <c r="X397">
        <v>1.06</v>
      </c>
      <c r="Y397">
        <f t="shared" si="96"/>
        <v>6.36</v>
      </c>
    </row>
    <row r="398" spans="1:25" ht="63" customHeight="1" x14ac:dyDescent="0.2">
      <c r="A398" s="135">
        <v>338</v>
      </c>
      <c r="B398" s="23" t="s">
        <v>549</v>
      </c>
      <c r="C398" s="24" t="s">
        <v>23</v>
      </c>
      <c r="D398" s="30" t="s">
        <v>23</v>
      </c>
      <c r="E398" s="31" t="s">
        <v>472</v>
      </c>
      <c r="F398" s="27">
        <v>1</v>
      </c>
      <c r="G398" s="27"/>
      <c r="H398" s="28"/>
      <c r="I398" s="25"/>
      <c r="J398" s="121"/>
      <c r="K398" s="28"/>
      <c r="L398" s="9"/>
      <c r="W398">
        <v>1</v>
      </c>
      <c r="X398">
        <v>1.06</v>
      </c>
      <c r="Y398">
        <f t="shared" si="96"/>
        <v>1.06</v>
      </c>
    </row>
    <row r="399" spans="1:25" ht="63" customHeight="1" x14ac:dyDescent="0.2">
      <c r="A399" s="135">
        <v>339</v>
      </c>
      <c r="B399" s="23" t="s">
        <v>551</v>
      </c>
      <c r="C399" s="24" t="s">
        <v>23</v>
      </c>
      <c r="D399" s="30" t="s">
        <v>550</v>
      </c>
      <c r="E399" s="31" t="s">
        <v>58</v>
      </c>
      <c r="F399" s="27">
        <v>5</v>
      </c>
      <c r="G399" s="27"/>
      <c r="H399" s="28"/>
      <c r="I399" s="25"/>
      <c r="J399" s="121"/>
      <c r="K399" s="28"/>
      <c r="L399" s="9"/>
      <c r="W399">
        <v>5</v>
      </c>
      <c r="X399">
        <v>1.06</v>
      </c>
      <c r="Y399">
        <f t="shared" si="96"/>
        <v>5.3000000000000007</v>
      </c>
    </row>
    <row r="400" spans="1:25" ht="63" customHeight="1" x14ac:dyDescent="0.2">
      <c r="A400" s="135">
        <v>340</v>
      </c>
      <c r="B400" s="23" t="s">
        <v>608</v>
      </c>
      <c r="C400" s="24" t="s">
        <v>36</v>
      </c>
      <c r="D400" s="30">
        <v>10</v>
      </c>
      <c r="E400" s="31" t="s">
        <v>15</v>
      </c>
      <c r="F400" s="27">
        <v>11.06</v>
      </c>
      <c r="G400" s="27"/>
      <c r="H400" s="28"/>
      <c r="I400" s="25"/>
      <c r="J400" s="121"/>
      <c r="K400" s="28"/>
      <c r="L400" s="9"/>
      <c r="X400">
        <v>1.06</v>
      </c>
      <c r="Y400">
        <f t="shared" si="96"/>
        <v>0</v>
      </c>
    </row>
    <row r="401" spans="1:25" ht="63" customHeight="1" x14ac:dyDescent="0.2">
      <c r="A401" s="135">
        <v>341</v>
      </c>
      <c r="B401" s="23" t="s">
        <v>554</v>
      </c>
      <c r="C401" s="24" t="s">
        <v>36</v>
      </c>
      <c r="D401" s="30" t="s">
        <v>23</v>
      </c>
      <c r="E401" s="31" t="s">
        <v>555</v>
      </c>
      <c r="F401" s="27">
        <v>0.5</v>
      </c>
      <c r="G401" s="27"/>
      <c r="H401" s="28"/>
      <c r="I401" s="25"/>
      <c r="J401" s="121"/>
      <c r="K401" s="28"/>
      <c r="L401" s="9"/>
      <c r="W401">
        <v>0.5</v>
      </c>
      <c r="X401">
        <v>1.06</v>
      </c>
      <c r="Y401">
        <f t="shared" si="96"/>
        <v>0.53</v>
      </c>
    </row>
    <row r="402" spans="1:25" ht="63" customHeight="1" x14ac:dyDescent="0.2">
      <c r="A402" s="135">
        <v>342</v>
      </c>
      <c r="B402" s="23" t="s">
        <v>556</v>
      </c>
      <c r="C402" s="24" t="s">
        <v>557</v>
      </c>
      <c r="D402" s="30" t="s">
        <v>23</v>
      </c>
      <c r="E402" s="31" t="s">
        <v>58</v>
      </c>
      <c r="F402" s="27">
        <v>2.81</v>
      </c>
      <c r="G402" s="27"/>
      <c r="H402" s="28"/>
      <c r="I402" s="25"/>
      <c r="J402" s="121"/>
      <c r="K402" s="28"/>
      <c r="L402" s="9"/>
      <c r="W402">
        <v>2.81</v>
      </c>
      <c r="X402">
        <v>1.06</v>
      </c>
      <c r="Y402">
        <f t="shared" si="96"/>
        <v>2.9786000000000001</v>
      </c>
    </row>
    <row r="403" spans="1:25" ht="63" customHeight="1" x14ac:dyDescent="0.2">
      <c r="A403" s="135">
        <v>343</v>
      </c>
      <c r="B403" s="23" t="s">
        <v>559</v>
      </c>
      <c r="C403" s="24" t="s">
        <v>560</v>
      </c>
      <c r="D403" s="30">
        <v>2</v>
      </c>
      <c r="E403" s="31" t="s">
        <v>26</v>
      </c>
      <c r="F403" s="27">
        <v>16.420000000000002</v>
      </c>
      <c r="G403" s="27"/>
      <c r="H403" s="28"/>
      <c r="I403" s="25"/>
      <c r="J403" s="121"/>
      <c r="K403" s="28"/>
      <c r="L403" s="9"/>
      <c r="W403">
        <v>16.420000000000002</v>
      </c>
      <c r="X403">
        <v>1.06</v>
      </c>
      <c r="Y403">
        <f t="shared" si="96"/>
        <v>17.405200000000004</v>
      </c>
    </row>
    <row r="404" spans="1:25" ht="63" customHeight="1" x14ac:dyDescent="0.2">
      <c r="A404" s="135">
        <v>344</v>
      </c>
      <c r="B404" s="23" t="s">
        <v>561</v>
      </c>
      <c r="C404" s="24" t="s">
        <v>560</v>
      </c>
      <c r="D404" s="30">
        <v>2</v>
      </c>
      <c r="E404" s="31" t="s">
        <v>26</v>
      </c>
      <c r="F404" s="27">
        <v>29.3</v>
      </c>
      <c r="G404" s="27"/>
      <c r="H404" s="28"/>
      <c r="I404" s="25"/>
      <c r="J404" s="121"/>
      <c r="K404" s="28"/>
      <c r="L404" s="9"/>
      <c r="W404">
        <v>29.3</v>
      </c>
      <c r="X404">
        <v>1.06</v>
      </c>
      <c r="Y404">
        <f t="shared" si="96"/>
        <v>31.058000000000003</v>
      </c>
    </row>
    <row r="405" spans="1:25" ht="63" customHeight="1" x14ac:dyDescent="0.2">
      <c r="A405" s="135">
        <v>345</v>
      </c>
      <c r="B405" s="23" t="s">
        <v>562</v>
      </c>
      <c r="C405" s="24" t="s">
        <v>23</v>
      </c>
      <c r="D405" s="30" t="s">
        <v>23</v>
      </c>
      <c r="E405" s="31" t="s">
        <v>564</v>
      </c>
      <c r="F405" s="27">
        <v>7.79</v>
      </c>
      <c r="G405" s="27"/>
      <c r="H405" s="28"/>
      <c r="I405" s="25"/>
      <c r="J405" s="121"/>
      <c r="K405" s="28"/>
      <c r="L405" s="9"/>
      <c r="W405">
        <v>7.79</v>
      </c>
      <c r="X405">
        <v>1.06</v>
      </c>
      <c r="Y405">
        <f t="shared" si="96"/>
        <v>8.2574000000000005</v>
      </c>
    </row>
    <row r="406" spans="1:25" ht="63" customHeight="1" x14ac:dyDescent="0.2">
      <c r="A406" s="135">
        <v>346</v>
      </c>
      <c r="B406" s="23" t="s">
        <v>563</v>
      </c>
      <c r="C406" s="24" t="s">
        <v>23</v>
      </c>
      <c r="D406" s="30" t="s">
        <v>23</v>
      </c>
      <c r="E406" s="31" t="s">
        <v>148</v>
      </c>
      <c r="F406" s="27">
        <v>1.89</v>
      </c>
      <c r="G406" s="27"/>
      <c r="H406" s="28"/>
      <c r="I406" s="25"/>
      <c r="J406" s="121"/>
      <c r="K406" s="28"/>
      <c r="L406" s="9"/>
      <c r="W406">
        <v>1.89</v>
      </c>
      <c r="X406">
        <v>1.06</v>
      </c>
      <c r="Y406">
        <f t="shared" si="96"/>
        <v>2.0034000000000001</v>
      </c>
    </row>
    <row r="407" spans="1:25" ht="63" customHeight="1" x14ac:dyDescent="0.2">
      <c r="A407" s="135">
        <v>347</v>
      </c>
      <c r="B407" s="23" t="s">
        <v>565</v>
      </c>
      <c r="C407" s="24" t="s">
        <v>23</v>
      </c>
      <c r="D407" s="30"/>
      <c r="E407" s="31" t="s">
        <v>15</v>
      </c>
      <c r="F407" s="27">
        <v>1.92</v>
      </c>
      <c r="G407" s="27"/>
      <c r="H407" s="28"/>
      <c r="I407" s="25"/>
      <c r="J407" s="121"/>
      <c r="K407" s="28"/>
      <c r="L407" s="9"/>
      <c r="W407">
        <v>1.92</v>
      </c>
      <c r="X407">
        <v>1.06</v>
      </c>
      <c r="Y407">
        <f t="shared" si="96"/>
        <v>2.0352000000000001</v>
      </c>
    </row>
    <row r="408" spans="1:25" ht="63" customHeight="1" x14ac:dyDescent="0.2">
      <c r="A408" s="135">
        <v>348</v>
      </c>
      <c r="B408" s="23" t="s">
        <v>566</v>
      </c>
      <c r="C408" s="24" t="s">
        <v>23</v>
      </c>
      <c r="D408" s="30"/>
      <c r="E408" s="31" t="s">
        <v>15</v>
      </c>
      <c r="F408" s="27">
        <v>2.09</v>
      </c>
      <c r="G408" s="27"/>
      <c r="H408" s="28"/>
      <c r="I408" s="25"/>
      <c r="J408" s="121"/>
      <c r="K408" s="28"/>
      <c r="L408" s="9"/>
      <c r="W408">
        <v>2.09</v>
      </c>
      <c r="X408">
        <v>1.06</v>
      </c>
      <c r="Y408">
        <f t="shared" si="96"/>
        <v>2.2153999999999998</v>
      </c>
    </row>
    <row r="409" spans="1:25" ht="63" customHeight="1" x14ac:dyDescent="0.2">
      <c r="A409" s="135">
        <v>349</v>
      </c>
      <c r="B409" s="23" t="s">
        <v>567</v>
      </c>
      <c r="C409" s="24" t="s">
        <v>23</v>
      </c>
      <c r="D409" s="30"/>
      <c r="E409" s="31" t="s">
        <v>15</v>
      </c>
      <c r="F409" s="27">
        <v>2.4500000000000002</v>
      </c>
      <c r="G409" s="27"/>
      <c r="H409" s="28"/>
      <c r="I409" s="25"/>
      <c r="J409" s="121"/>
      <c r="K409" s="28"/>
      <c r="L409" s="9"/>
      <c r="W409">
        <v>2.4500000000000002</v>
      </c>
      <c r="X409">
        <v>1.06</v>
      </c>
      <c r="Y409">
        <f t="shared" si="96"/>
        <v>2.5970000000000004</v>
      </c>
    </row>
    <row r="410" spans="1:25" ht="63" customHeight="1" x14ac:dyDescent="0.2">
      <c r="A410" s="135">
        <v>350</v>
      </c>
      <c r="B410" s="23" t="s">
        <v>568</v>
      </c>
      <c r="C410" s="24" t="s">
        <v>23</v>
      </c>
      <c r="D410" s="30"/>
      <c r="E410" s="31" t="s">
        <v>15</v>
      </c>
      <c r="F410" s="27">
        <v>2.64</v>
      </c>
      <c r="G410" s="27"/>
      <c r="H410" s="28"/>
      <c r="I410" s="25"/>
      <c r="J410" s="121"/>
      <c r="K410" s="28"/>
      <c r="L410" s="9"/>
      <c r="W410">
        <v>2.64</v>
      </c>
      <c r="X410">
        <v>1.06</v>
      </c>
      <c r="Y410">
        <f t="shared" si="96"/>
        <v>2.7984000000000004</v>
      </c>
    </row>
    <row r="411" spans="1:25" ht="63" customHeight="1" x14ac:dyDescent="0.2">
      <c r="A411" s="135">
        <v>351</v>
      </c>
      <c r="B411" s="23" t="s">
        <v>569</v>
      </c>
      <c r="C411" s="24" t="s">
        <v>570</v>
      </c>
      <c r="D411" s="30" t="s">
        <v>23</v>
      </c>
      <c r="E411" s="31" t="s">
        <v>58</v>
      </c>
      <c r="F411" s="27">
        <v>1.8</v>
      </c>
      <c r="G411" s="27"/>
      <c r="H411" s="28"/>
      <c r="I411" s="25"/>
      <c r="J411" s="121"/>
      <c r="K411" s="28"/>
      <c r="L411" s="9"/>
      <c r="W411">
        <v>1.8</v>
      </c>
      <c r="X411">
        <v>1.06</v>
      </c>
      <c r="Y411">
        <f t="shared" si="96"/>
        <v>1.9080000000000001</v>
      </c>
    </row>
    <row r="412" spans="1:25" ht="63" customHeight="1" x14ac:dyDescent="0.2">
      <c r="A412" s="135">
        <v>352</v>
      </c>
      <c r="B412" s="23" t="s">
        <v>588</v>
      </c>
      <c r="C412" s="24" t="s">
        <v>23</v>
      </c>
      <c r="D412" s="30" t="s">
        <v>23</v>
      </c>
      <c r="E412" s="31" t="s">
        <v>15</v>
      </c>
      <c r="F412" s="27">
        <v>3.1</v>
      </c>
      <c r="G412" s="27"/>
      <c r="H412" s="28"/>
      <c r="I412" s="25"/>
      <c r="J412" s="121"/>
      <c r="K412" s="28"/>
      <c r="L412" s="9"/>
      <c r="Y412">
        <f t="shared" si="96"/>
        <v>0</v>
      </c>
    </row>
    <row r="413" spans="1:25" ht="63" customHeight="1" x14ac:dyDescent="0.2">
      <c r="A413" s="135">
        <v>353</v>
      </c>
      <c r="B413" s="23" t="s">
        <v>575</v>
      </c>
      <c r="C413" s="24"/>
      <c r="D413" s="30"/>
      <c r="E413" s="31"/>
      <c r="F413" s="27">
        <v>0.28999999999999998</v>
      </c>
      <c r="G413" s="27"/>
      <c r="H413" s="28"/>
      <c r="I413" s="25"/>
      <c r="J413" s="121"/>
      <c r="K413" s="28"/>
      <c r="L413" s="9"/>
    </row>
    <row r="414" spans="1:25" ht="63" customHeight="1" x14ac:dyDescent="0.2">
      <c r="A414" s="135">
        <v>354</v>
      </c>
      <c r="B414" s="23" t="s">
        <v>577</v>
      </c>
      <c r="C414" s="24" t="s">
        <v>36</v>
      </c>
      <c r="D414" s="30" t="s">
        <v>23</v>
      </c>
      <c r="E414" s="31" t="s">
        <v>15</v>
      </c>
      <c r="F414" s="27">
        <v>3.5</v>
      </c>
      <c r="G414" s="27"/>
      <c r="H414" s="28"/>
      <c r="I414" s="25"/>
      <c r="J414" s="121"/>
      <c r="K414" s="28"/>
      <c r="L414" s="9"/>
    </row>
    <row r="415" spans="1:25" ht="63" customHeight="1" x14ac:dyDescent="0.2">
      <c r="A415" s="135">
        <v>355</v>
      </c>
      <c r="B415" s="23" t="s">
        <v>583</v>
      </c>
      <c r="C415" s="24" t="s">
        <v>584</v>
      </c>
      <c r="D415" s="30" t="s">
        <v>585</v>
      </c>
      <c r="E415" s="31" t="s">
        <v>15</v>
      </c>
      <c r="F415" s="27">
        <v>4.22</v>
      </c>
      <c r="G415" s="27"/>
      <c r="H415" s="28"/>
      <c r="I415" s="25"/>
      <c r="J415" s="121"/>
      <c r="K415" s="28"/>
      <c r="L415" s="9"/>
    </row>
    <row r="416" spans="1:25" ht="63" customHeight="1" x14ac:dyDescent="0.2">
      <c r="A416" s="135">
        <v>356</v>
      </c>
      <c r="B416" s="23" t="s">
        <v>587</v>
      </c>
      <c r="C416" s="24" t="s">
        <v>36</v>
      </c>
      <c r="D416" s="30" t="s">
        <v>23</v>
      </c>
      <c r="E416" s="31" t="s">
        <v>15</v>
      </c>
      <c r="F416" s="27">
        <v>12</v>
      </c>
      <c r="G416" s="27"/>
      <c r="H416" s="28"/>
      <c r="I416" s="25"/>
      <c r="J416" s="121"/>
      <c r="K416" s="28"/>
      <c r="L416" s="9"/>
    </row>
    <row r="417" spans="1:12" ht="63" customHeight="1" x14ac:dyDescent="0.2">
      <c r="A417" s="135">
        <v>357</v>
      </c>
      <c r="B417" s="23" t="s">
        <v>602</v>
      </c>
      <c r="C417" s="24" t="s">
        <v>423</v>
      </c>
      <c r="D417" s="30" t="s">
        <v>23</v>
      </c>
      <c r="E417" s="31" t="s">
        <v>111</v>
      </c>
      <c r="F417" s="27">
        <v>0.47</v>
      </c>
      <c r="G417" s="27"/>
      <c r="H417" s="28"/>
      <c r="I417" s="25"/>
      <c r="J417" s="121"/>
      <c r="K417" s="28"/>
      <c r="L417" s="9"/>
    </row>
    <row r="418" spans="1:12" ht="63" customHeight="1" x14ac:dyDescent="0.2">
      <c r="A418" s="135">
        <v>358</v>
      </c>
      <c r="B418" s="23" t="s">
        <v>607</v>
      </c>
      <c r="C418" s="24" t="s">
        <v>36</v>
      </c>
      <c r="D418" s="30" t="s">
        <v>23</v>
      </c>
      <c r="E418" s="31" t="s">
        <v>15</v>
      </c>
      <c r="F418" s="27">
        <v>25</v>
      </c>
      <c r="G418" s="27"/>
      <c r="H418" s="28"/>
      <c r="I418" s="25"/>
      <c r="J418" s="121"/>
      <c r="K418" s="28"/>
      <c r="L418" s="9"/>
    </row>
    <row r="419" spans="1:12" ht="63" customHeight="1" x14ac:dyDescent="0.2">
      <c r="A419" s="135">
        <v>359</v>
      </c>
      <c r="B419" s="23" t="s">
        <v>609</v>
      </c>
      <c r="C419" s="24" t="s">
        <v>36</v>
      </c>
      <c r="D419" s="30" t="s">
        <v>23</v>
      </c>
      <c r="E419" s="31" t="s">
        <v>15</v>
      </c>
      <c r="F419" s="27">
        <v>6.02</v>
      </c>
      <c r="G419" s="27"/>
      <c r="H419" s="28"/>
      <c r="I419" s="25"/>
      <c r="J419" s="121"/>
      <c r="K419" s="28"/>
      <c r="L419" s="9"/>
    </row>
    <row r="420" spans="1:12" ht="12" customHeight="1" x14ac:dyDescent="0.2">
      <c r="A420" s="136"/>
      <c r="H420" s="137"/>
      <c r="I420" s="137"/>
      <c r="K420" s="137"/>
      <c r="L420" s="9"/>
    </row>
    <row r="421" spans="1:12" ht="12" customHeight="1" x14ac:dyDescent="0.2">
      <c r="A421" s="136"/>
      <c r="H421" s="137"/>
      <c r="I421" s="137"/>
      <c r="K421" s="137"/>
      <c r="L421" s="9"/>
    </row>
    <row r="422" spans="1:12" ht="12" customHeight="1" x14ac:dyDescent="0.2">
      <c r="A422" s="136"/>
      <c r="H422" s="137"/>
      <c r="I422" s="137"/>
      <c r="K422" s="137"/>
      <c r="L422" s="9"/>
    </row>
    <row r="423" spans="1:12" ht="12" customHeight="1" x14ac:dyDescent="0.2">
      <c r="A423" s="136"/>
      <c r="H423" s="137"/>
      <c r="I423" s="137"/>
      <c r="K423" s="137"/>
      <c r="L423" s="9"/>
    </row>
    <row r="424" spans="1:12" ht="12" customHeight="1" x14ac:dyDescent="0.2">
      <c r="A424" s="136"/>
      <c r="H424" s="137"/>
      <c r="I424" s="137"/>
      <c r="K424" s="137"/>
      <c r="L424" s="9"/>
    </row>
    <row r="425" spans="1:12" ht="12" customHeight="1" x14ac:dyDescent="0.2">
      <c r="A425" s="136"/>
      <c r="H425" s="137"/>
      <c r="I425" s="137"/>
      <c r="K425" s="137"/>
      <c r="L425" s="9"/>
    </row>
    <row r="426" spans="1:12" ht="12" customHeight="1" x14ac:dyDescent="0.2">
      <c r="A426" s="136"/>
      <c r="H426" s="137"/>
      <c r="I426" s="137"/>
      <c r="K426" s="137"/>
      <c r="L426" s="9"/>
    </row>
    <row r="427" spans="1:12" ht="12" customHeight="1" x14ac:dyDescent="0.2">
      <c r="A427" s="136"/>
      <c r="H427" s="137"/>
      <c r="I427" s="137"/>
      <c r="K427" s="137"/>
      <c r="L427" s="9"/>
    </row>
    <row r="428" spans="1:12" ht="12" customHeight="1" x14ac:dyDescent="0.2">
      <c r="A428" s="136"/>
      <c r="H428" s="137"/>
      <c r="I428" s="137"/>
      <c r="K428" s="137"/>
      <c r="L428" s="9"/>
    </row>
    <row r="429" spans="1:12" ht="12" customHeight="1" x14ac:dyDescent="0.2">
      <c r="A429" s="136"/>
      <c r="H429" s="137"/>
      <c r="I429" s="137"/>
      <c r="K429" s="137"/>
      <c r="L429" s="9"/>
    </row>
    <row r="430" spans="1:12" ht="12" customHeight="1" x14ac:dyDescent="0.2">
      <c r="A430" s="136"/>
      <c r="H430" s="137"/>
      <c r="I430" s="137"/>
      <c r="K430" s="137"/>
      <c r="L430" s="9"/>
    </row>
    <row r="431" spans="1:12" ht="12" customHeight="1" x14ac:dyDescent="0.2">
      <c r="A431" s="136"/>
      <c r="H431" s="137"/>
      <c r="I431" s="137"/>
      <c r="K431" s="137"/>
      <c r="L431" s="9"/>
    </row>
    <row r="432" spans="1:12" ht="12" customHeight="1" x14ac:dyDescent="0.2">
      <c r="A432" s="136"/>
      <c r="H432" s="137"/>
      <c r="I432" s="137"/>
      <c r="K432" s="137"/>
      <c r="L432" s="9"/>
    </row>
    <row r="433" spans="1:12" ht="12" customHeight="1" x14ac:dyDescent="0.2">
      <c r="A433" s="136"/>
      <c r="H433" s="137"/>
      <c r="I433" s="137"/>
      <c r="K433" s="137"/>
      <c r="L433" s="9"/>
    </row>
    <row r="434" spans="1:12" ht="12" customHeight="1" x14ac:dyDescent="0.2">
      <c r="A434" s="136"/>
      <c r="H434" s="137"/>
      <c r="I434" s="137"/>
      <c r="K434" s="137"/>
      <c r="L434" s="9"/>
    </row>
    <row r="435" spans="1:12" ht="12" customHeight="1" x14ac:dyDescent="0.2">
      <c r="A435" s="136"/>
      <c r="H435" s="137"/>
      <c r="I435" s="137"/>
      <c r="K435" s="137"/>
      <c r="L435" s="9"/>
    </row>
    <row r="436" spans="1:12" ht="12" customHeight="1" x14ac:dyDescent="0.2">
      <c r="A436" s="136"/>
      <c r="H436" s="137"/>
      <c r="I436" s="137"/>
      <c r="K436" s="137"/>
      <c r="L436" s="9"/>
    </row>
    <row r="437" spans="1:12" ht="12" customHeight="1" x14ac:dyDescent="0.2">
      <c r="A437" s="136"/>
      <c r="H437" s="137"/>
      <c r="I437" s="137"/>
      <c r="K437" s="137"/>
      <c r="L437" s="9"/>
    </row>
    <row r="438" spans="1:12" ht="12" customHeight="1" x14ac:dyDescent="0.2">
      <c r="A438" s="136"/>
      <c r="H438" s="137"/>
      <c r="I438" s="137"/>
      <c r="K438" s="137"/>
      <c r="L438" s="9"/>
    </row>
    <row r="439" spans="1:12" ht="12" customHeight="1" x14ac:dyDescent="0.2">
      <c r="A439" s="136"/>
      <c r="H439" s="137"/>
      <c r="I439" s="137"/>
      <c r="K439" s="137"/>
      <c r="L439" s="9"/>
    </row>
    <row r="440" spans="1:12" ht="12" customHeight="1" x14ac:dyDescent="0.2">
      <c r="A440" s="136"/>
      <c r="H440" s="137"/>
      <c r="I440" s="137"/>
      <c r="K440" s="137"/>
      <c r="L440" s="9"/>
    </row>
    <row r="441" spans="1:12" ht="12" customHeight="1" x14ac:dyDescent="0.2">
      <c r="A441" s="136"/>
      <c r="H441" s="137"/>
      <c r="I441" s="137"/>
      <c r="K441" s="137"/>
      <c r="L441" s="9"/>
    </row>
    <row r="442" spans="1:12" ht="12" customHeight="1" x14ac:dyDescent="0.2">
      <c r="A442" s="136"/>
      <c r="H442" s="137"/>
      <c r="I442" s="137"/>
      <c r="K442" s="137"/>
      <c r="L442" s="9"/>
    </row>
    <row r="443" spans="1:12" ht="12" customHeight="1" x14ac:dyDescent="0.2">
      <c r="A443" s="136"/>
      <c r="H443" s="137"/>
      <c r="I443" s="137"/>
      <c r="K443" s="137"/>
      <c r="L443" s="9"/>
    </row>
    <row r="444" spans="1:12" ht="12" customHeight="1" x14ac:dyDescent="0.2">
      <c r="A444" s="136"/>
      <c r="H444" s="137"/>
      <c r="I444" s="137"/>
      <c r="K444" s="137"/>
      <c r="L444" s="9"/>
    </row>
    <row r="445" spans="1:12" ht="12" customHeight="1" x14ac:dyDescent="0.2">
      <c r="A445" s="136"/>
      <c r="H445" s="137"/>
      <c r="I445" s="137"/>
      <c r="K445" s="137"/>
      <c r="L445" s="9"/>
    </row>
    <row r="446" spans="1:12" ht="12" customHeight="1" x14ac:dyDescent="0.2">
      <c r="A446" s="136"/>
      <c r="H446" s="137"/>
      <c r="I446" s="137"/>
      <c r="K446" s="137"/>
      <c r="L446" s="9"/>
    </row>
    <row r="447" spans="1:12" ht="12" customHeight="1" x14ac:dyDescent="0.2">
      <c r="A447" s="136"/>
      <c r="H447" s="137"/>
      <c r="I447" s="137"/>
      <c r="K447" s="137"/>
      <c r="L447" s="9"/>
    </row>
    <row r="448" spans="1:12" ht="12" customHeight="1" x14ac:dyDescent="0.2">
      <c r="A448" s="136"/>
      <c r="H448" s="137"/>
      <c r="I448" s="137"/>
      <c r="K448" s="137"/>
      <c r="L448" s="9"/>
    </row>
    <row r="449" spans="1:12" ht="12" customHeight="1" x14ac:dyDescent="0.2">
      <c r="A449" s="136"/>
      <c r="H449" s="137"/>
      <c r="I449" s="137"/>
      <c r="K449" s="137"/>
      <c r="L449" s="9"/>
    </row>
    <row r="450" spans="1:12" ht="12" customHeight="1" x14ac:dyDescent="0.2">
      <c r="A450" s="136"/>
      <c r="H450" s="137"/>
      <c r="I450" s="137"/>
      <c r="K450" s="137"/>
      <c r="L450" s="9"/>
    </row>
    <row r="451" spans="1:12" ht="12" customHeight="1" x14ac:dyDescent="0.2">
      <c r="A451" s="136"/>
      <c r="H451" s="137"/>
      <c r="I451" s="137"/>
      <c r="K451" s="137"/>
      <c r="L451" s="9"/>
    </row>
    <row r="452" spans="1:12" ht="12" customHeight="1" x14ac:dyDescent="0.2">
      <c r="A452" s="136"/>
      <c r="H452" s="137"/>
      <c r="I452" s="137"/>
      <c r="K452" s="137"/>
      <c r="L452" s="9"/>
    </row>
    <row r="453" spans="1:12" ht="12" customHeight="1" x14ac:dyDescent="0.2">
      <c r="A453" s="136"/>
      <c r="H453" s="137"/>
      <c r="I453" s="137"/>
      <c r="K453" s="137"/>
      <c r="L453" s="9"/>
    </row>
    <row r="454" spans="1:12" ht="12" customHeight="1" x14ac:dyDescent="0.2">
      <c r="A454" s="136"/>
      <c r="H454" s="137"/>
      <c r="I454" s="137"/>
      <c r="K454" s="137"/>
      <c r="L454" s="9"/>
    </row>
    <row r="455" spans="1:12" ht="12" customHeight="1" x14ac:dyDescent="0.2">
      <c r="A455" s="136"/>
      <c r="H455" s="137"/>
      <c r="I455" s="137"/>
      <c r="K455" s="137"/>
      <c r="L455" s="9"/>
    </row>
    <row r="456" spans="1:12" ht="12" customHeight="1" x14ac:dyDescent="0.2">
      <c r="A456" s="136"/>
      <c r="H456" s="137"/>
      <c r="I456" s="137"/>
      <c r="K456" s="137"/>
      <c r="L456" s="9"/>
    </row>
    <row r="457" spans="1:12" ht="12" customHeight="1" x14ac:dyDescent="0.2">
      <c r="A457" s="136"/>
      <c r="H457" s="137"/>
      <c r="I457" s="137"/>
      <c r="K457" s="137"/>
      <c r="L457" s="9"/>
    </row>
    <row r="458" spans="1:12" ht="12" customHeight="1" x14ac:dyDescent="0.2">
      <c r="A458" s="136"/>
      <c r="H458" s="137"/>
      <c r="I458" s="137"/>
      <c r="K458" s="137"/>
      <c r="L458" s="9"/>
    </row>
    <row r="459" spans="1:12" ht="12" customHeight="1" x14ac:dyDescent="0.2">
      <c r="A459" s="136"/>
      <c r="H459" s="137"/>
      <c r="I459" s="137"/>
      <c r="K459" s="137"/>
      <c r="L459" s="9"/>
    </row>
    <row r="460" spans="1:12" ht="12" customHeight="1" x14ac:dyDescent="0.2">
      <c r="A460" s="136"/>
      <c r="H460" s="137"/>
      <c r="I460" s="137"/>
      <c r="K460" s="137"/>
      <c r="L460" s="9"/>
    </row>
    <row r="461" spans="1:12" ht="12" customHeight="1" x14ac:dyDescent="0.2">
      <c r="A461" s="136"/>
      <c r="H461" s="137"/>
      <c r="I461" s="137"/>
      <c r="K461" s="137"/>
      <c r="L461" s="9"/>
    </row>
    <row r="462" spans="1:12" ht="12" customHeight="1" x14ac:dyDescent="0.2">
      <c r="A462" s="136"/>
      <c r="H462" s="137"/>
      <c r="I462" s="137"/>
      <c r="K462" s="137"/>
      <c r="L462" s="9"/>
    </row>
    <row r="463" spans="1:12" ht="12" customHeight="1" x14ac:dyDescent="0.2">
      <c r="A463" s="136"/>
      <c r="H463" s="137"/>
      <c r="I463" s="137"/>
      <c r="K463" s="137"/>
      <c r="L463" s="9"/>
    </row>
    <row r="464" spans="1:12" ht="12" customHeight="1" x14ac:dyDescent="0.2">
      <c r="A464" s="136"/>
      <c r="H464" s="137"/>
      <c r="I464" s="137"/>
      <c r="K464" s="137"/>
      <c r="L464" s="9"/>
    </row>
    <row r="465" spans="1:12" ht="12" customHeight="1" x14ac:dyDescent="0.2">
      <c r="A465" s="136"/>
      <c r="H465" s="137"/>
      <c r="I465" s="137"/>
      <c r="K465" s="137"/>
      <c r="L465" s="9"/>
    </row>
    <row r="466" spans="1:12" ht="12" customHeight="1" x14ac:dyDescent="0.2">
      <c r="A466" s="136"/>
      <c r="H466" s="137"/>
      <c r="I466" s="137"/>
      <c r="K466" s="137"/>
      <c r="L466" s="9"/>
    </row>
    <row r="467" spans="1:12" ht="12" customHeight="1" x14ac:dyDescent="0.2">
      <c r="A467" s="136"/>
      <c r="H467" s="137"/>
      <c r="I467" s="137"/>
      <c r="K467" s="137"/>
      <c r="L467" s="9"/>
    </row>
    <row r="468" spans="1:12" ht="12" customHeight="1" x14ac:dyDescent="0.2">
      <c r="A468" s="136"/>
      <c r="H468" s="137"/>
      <c r="I468" s="137"/>
      <c r="K468" s="137"/>
      <c r="L468" s="9"/>
    </row>
    <row r="469" spans="1:12" ht="12" customHeight="1" x14ac:dyDescent="0.2">
      <c r="A469" s="136"/>
      <c r="H469" s="137"/>
      <c r="I469" s="137"/>
      <c r="K469" s="137"/>
      <c r="L469" s="9"/>
    </row>
    <row r="470" spans="1:12" ht="12" customHeight="1" x14ac:dyDescent="0.2">
      <c r="A470" s="136"/>
      <c r="H470" s="137"/>
      <c r="I470" s="137"/>
      <c r="K470" s="137"/>
      <c r="L470" s="9"/>
    </row>
    <row r="471" spans="1:12" ht="12" customHeight="1" x14ac:dyDescent="0.2">
      <c r="A471" s="136"/>
      <c r="H471" s="137"/>
      <c r="I471" s="137"/>
      <c r="K471" s="137"/>
      <c r="L471" s="9"/>
    </row>
    <row r="472" spans="1:12" ht="12" customHeight="1" x14ac:dyDescent="0.2">
      <c r="A472" s="136"/>
      <c r="H472" s="137"/>
      <c r="I472" s="137"/>
      <c r="K472" s="137"/>
      <c r="L472" s="9"/>
    </row>
    <row r="473" spans="1:12" ht="12" customHeight="1" x14ac:dyDescent="0.2">
      <c r="A473" s="136"/>
      <c r="H473" s="137"/>
      <c r="I473" s="137"/>
      <c r="K473" s="137"/>
      <c r="L473" s="9"/>
    </row>
    <row r="474" spans="1:12" ht="12" customHeight="1" x14ac:dyDescent="0.2">
      <c r="A474" s="136"/>
      <c r="H474" s="137"/>
      <c r="I474" s="137"/>
      <c r="K474" s="137"/>
      <c r="L474" s="9"/>
    </row>
    <row r="475" spans="1:12" ht="12" customHeight="1" x14ac:dyDescent="0.2">
      <c r="A475" s="136"/>
      <c r="H475" s="137"/>
      <c r="I475" s="137"/>
      <c r="K475" s="137"/>
      <c r="L475" s="9"/>
    </row>
    <row r="476" spans="1:12" ht="12" customHeight="1" x14ac:dyDescent="0.2">
      <c r="A476" s="136"/>
      <c r="H476" s="137"/>
      <c r="I476" s="137"/>
      <c r="K476" s="137"/>
      <c r="L476" s="9"/>
    </row>
    <row r="477" spans="1:12" ht="12" customHeight="1" x14ac:dyDescent="0.2">
      <c r="A477" s="136"/>
      <c r="H477" s="137"/>
      <c r="I477" s="137"/>
      <c r="K477" s="137"/>
      <c r="L477" s="9"/>
    </row>
    <row r="478" spans="1:12" ht="12" customHeight="1" x14ac:dyDescent="0.2">
      <c r="A478" s="136"/>
      <c r="H478" s="137"/>
      <c r="I478" s="137"/>
      <c r="K478" s="137"/>
      <c r="L478" s="9"/>
    </row>
    <row r="479" spans="1:12" ht="12" customHeight="1" x14ac:dyDescent="0.2">
      <c r="A479" s="136"/>
      <c r="H479" s="137"/>
      <c r="I479" s="137"/>
      <c r="K479" s="137"/>
      <c r="L479" s="9"/>
    </row>
    <row r="480" spans="1:12" ht="12" customHeight="1" x14ac:dyDescent="0.2">
      <c r="A480" s="136"/>
      <c r="H480" s="137"/>
      <c r="I480" s="137"/>
      <c r="K480" s="137"/>
      <c r="L480" s="9"/>
    </row>
    <row r="481" spans="1:12" ht="12" customHeight="1" x14ac:dyDescent="0.2">
      <c r="A481" s="136"/>
      <c r="H481" s="137"/>
      <c r="I481" s="137"/>
      <c r="K481" s="137"/>
      <c r="L481" s="9"/>
    </row>
    <row r="482" spans="1:12" ht="12" customHeight="1" x14ac:dyDescent="0.2">
      <c r="A482" s="136"/>
      <c r="H482" s="137"/>
      <c r="I482" s="137"/>
      <c r="K482" s="137"/>
      <c r="L482" s="9"/>
    </row>
    <row r="483" spans="1:12" ht="12" customHeight="1" x14ac:dyDescent="0.2">
      <c r="A483" s="136"/>
      <c r="H483" s="137"/>
      <c r="I483" s="137"/>
      <c r="K483" s="137"/>
      <c r="L483" s="9"/>
    </row>
    <row r="484" spans="1:12" ht="12" customHeight="1" x14ac:dyDescent="0.2">
      <c r="A484" s="136"/>
      <c r="H484" s="137"/>
      <c r="I484" s="137"/>
      <c r="K484" s="137"/>
      <c r="L484" s="9"/>
    </row>
    <row r="485" spans="1:12" ht="12" customHeight="1" x14ac:dyDescent="0.2">
      <c r="A485" s="136"/>
      <c r="H485" s="137"/>
      <c r="I485" s="137"/>
      <c r="K485" s="137"/>
      <c r="L485" s="9"/>
    </row>
    <row r="486" spans="1:12" ht="12" customHeight="1" x14ac:dyDescent="0.2">
      <c r="A486" s="136"/>
      <c r="H486" s="137"/>
      <c r="I486" s="137"/>
      <c r="K486" s="137"/>
      <c r="L486" s="9"/>
    </row>
    <row r="487" spans="1:12" ht="12" customHeight="1" x14ac:dyDescent="0.2">
      <c r="A487" s="136"/>
      <c r="H487" s="137"/>
      <c r="I487" s="137"/>
      <c r="K487" s="137"/>
      <c r="L487" s="9"/>
    </row>
    <row r="488" spans="1:12" ht="12" customHeight="1" x14ac:dyDescent="0.2">
      <c r="A488" s="136"/>
      <c r="H488" s="137"/>
      <c r="I488" s="137"/>
      <c r="K488" s="137"/>
      <c r="L488" s="9"/>
    </row>
    <row r="489" spans="1:12" ht="12" customHeight="1" x14ac:dyDescent="0.2">
      <c r="A489" s="136"/>
      <c r="H489" s="137"/>
      <c r="I489" s="137"/>
      <c r="K489" s="137"/>
      <c r="L489" s="9"/>
    </row>
    <row r="490" spans="1:12" ht="12" customHeight="1" x14ac:dyDescent="0.2">
      <c r="A490" s="136"/>
      <c r="H490" s="137"/>
      <c r="I490" s="137"/>
      <c r="K490" s="137"/>
      <c r="L490" s="9"/>
    </row>
    <row r="491" spans="1:12" ht="12" customHeight="1" x14ac:dyDescent="0.2">
      <c r="A491" s="136"/>
      <c r="H491" s="137"/>
      <c r="I491" s="137"/>
      <c r="K491" s="137"/>
      <c r="L491" s="9"/>
    </row>
    <row r="492" spans="1:12" ht="12" customHeight="1" x14ac:dyDescent="0.2">
      <c r="A492" s="136"/>
      <c r="H492" s="137"/>
      <c r="I492" s="137"/>
      <c r="K492" s="137"/>
      <c r="L492" s="9"/>
    </row>
    <row r="493" spans="1:12" ht="12" customHeight="1" x14ac:dyDescent="0.2">
      <c r="A493" s="136"/>
      <c r="H493" s="137"/>
      <c r="I493" s="137"/>
      <c r="K493" s="137"/>
      <c r="L493" s="9"/>
    </row>
    <row r="494" spans="1:12" ht="12" customHeight="1" x14ac:dyDescent="0.2">
      <c r="A494" s="136"/>
      <c r="H494" s="137"/>
      <c r="I494" s="137"/>
      <c r="K494" s="137"/>
      <c r="L494" s="9"/>
    </row>
    <row r="495" spans="1:12" ht="12" customHeight="1" x14ac:dyDescent="0.2">
      <c r="A495" s="136"/>
      <c r="H495" s="137"/>
      <c r="I495" s="137"/>
      <c r="K495" s="137"/>
      <c r="L495" s="9"/>
    </row>
    <row r="496" spans="1:12" ht="12" customHeight="1" x14ac:dyDescent="0.2">
      <c r="A496" s="136"/>
      <c r="H496" s="137"/>
      <c r="I496" s="137"/>
      <c r="K496" s="137"/>
      <c r="L496" s="9"/>
    </row>
    <row r="497" spans="1:12" ht="12" customHeight="1" x14ac:dyDescent="0.2">
      <c r="A497" s="136"/>
      <c r="H497" s="137"/>
      <c r="I497" s="137"/>
      <c r="K497" s="137"/>
      <c r="L497" s="9"/>
    </row>
    <row r="498" spans="1:12" ht="12" customHeight="1" x14ac:dyDescent="0.2">
      <c r="A498" s="136"/>
      <c r="H498" s="137"/>
      <c r="I498" s="137"/>
      <c r="K498" s="137"/>
      <c r="L498" s="9"/>
    </row>
    <row r="499" spans="1:12" ht="12" customHeight="1" x14ac:dyDescent="0.2">
      <c r="A499" s="136"/>
      <c r="H499" s="137"/>
      <c r="I499" s="137"/>
      <c r="K499" s="137"/>
      <c r="L499" s="9"/>
    </row>
    <row r="500" spans="1:12" ht="12" customHeight="1" x14ac:dyDescent="0.2">
      <c r="A500" s="136"/>
      <c r="H500" s="137"/>
      <c r="I500" s="137"/>
      <c r="K500" s="137"/>
      <c r="L500" s="9"/>
    </row>
    <row r="501" spans="1:12" ht="12" customHeight="1" x14ac:dyDescent="0.2">
      <c r="A501" s="136"/>
      <c r="H501" s="137"/>
      <c r="I501" s="137"/>
      <c r="K501" s="137"/>
      <c r="L501" s="9"/>
    </row>
    <row r="502" spans="1:12" ht="12" customHeight="1" x14ac:dyDescent="0.2">
      <c r="A502" s="136"/>
      <c r="H502" s="137"/>
      <c r="I502" s="137"/>
      <c r="K502" s="137"/>
      <c r="L502" s="9"/>
    </row>
    <row r="503" spans="1:12" ht="12" customHeight="1" x14ac:dyDescent="0.2">
      <c r="A503" s="136"/>
      <c r="H503" s="137"/>
      <c r="I503" s="137"/>
      <c r="K503" s="137"/>
      <c r="L503" s="9"/>
    </row>
    <row r="504" spans="1:12" ht="12" customHeight="1" x14ac:dyDescent="0.2">
      <c r="A504" s="136"/>
      <c r="H504" s="137"/>
      <c r="I504" s="137"/>
      <c r="K504" s="137"/>
      <c r="L504" s="9"/>
    </row>
    <row r="505" spans="1:12" ht="12" customHeight="1" x14ac:dyDescent="0.2">
      <c r="A505" s="136"/>
      <c r="H505" s="137"/>
      <c r="I505" s="137"/>
      <c r="K505" s="137"/>
      <c r="L505" s="9"/>
    </row>
    <row r="506" spans="1:12" ht="12" customHeight="1" x14ac:dyDescent="0.2">
      <c r="A506" s="136"/>
      <c r="H506" s="137"/>
      <c r="I506" s="137"/>
      <c r="K506" s="137"/>
      <c r="L506" s="9"/>
    </row>
    <row r="507" spans="1:12" ht="12" customHeight="1" x14ac:dyDescent="0.2">
      <c r="A507" s="136"/>
      <c r="H507" s="137"/>
      <c r="I507" s="137"/>
      <c r="K507" s="137"/>
      <c r="L507" s="9"/>
    </row>
    <row r="508" spans="1:12" ht="12" customHeight="1" x14ac:dyDescent="0.2">
      <c r="A508" s="136"/>
      <c r="H508" s="137"/>
      <c r="I508" s="137"/>
      <c r="K508" s="137"/>
      <c r="L508" s="9"/>
    </row>
    <row r="509" spans="1:12" ht="12" customHeight="1" x14ac:dyDescent="0.2">
      <c r="A509" s="136"/>
      <c r="H509" s="137"/>
      <c r="I509" s="137"/>
      <c r="K509" s="137"/>
      <c r="L509" s="9"/>
    </row>
    <row r="510" spans="1:12" ht="12" customHeight="1" x14ac:dyDescent="0.2">
      <c r="A510" s="136"/>
      <c r="H510" s="137"/>
      <c r="I510" s="137"/>
      <c r="K510" s="137"/>
      <c r="L510" s="9"/>
    </row>
    <row r="511" spans="1:12" ht="12" customHeight="1" x14ac:dyDescent="0.2">
      <c r="A511" s="136"/>
      <c r="H511" s="137"/>
      <c r="I511" s="137"/>
      <c r="K511" s="137"/>
      <c r="L511" s="9"/>
    </row>
    <row r="512" spans="1:12" ht="12" customHeight="1" x14ac:dyDescent="0.2">
      <c r="A512" s="136"/>
      <c r="H512" s="137"/>
      <c r="I512" s="137"/>
      <c r="K512" s="137"/>
      <c r="L512" s="9"/>
    </row>
    <row r="513" spans="1:12" ht="12" customHeight="1" x14ac:dyDescent="0.2">
      <c r="A513" s="136"/>
      <c r="H513" s="137"/>
      <c r="I513" s="137"/>
      <c r="K513" s="137"/>
      <c r="L513" s="9"/>
    </row>
    <row r="514" spans="1:12" ht="12" customHeight="1" x14ac:dyDescent="0.2">
      <c r="A514" s="136"/>
      <c r="H514" s="137"/>
      <c r="I514" s="137"/>
      <c r="K514" s="137"/>
      <c r="L514" s="9"/>
    </row>
    <row r="515" spans="1:12" ht="12" customHeight="1" x14ac:dyDescent="0.2">
      <c r="A515" s="136"/>
      <c r="H515" s="137"/>
      <c r="I515" s="137"/>
      <c r="K515" s="137"/>
      <c r="L515" s="9"/>
    </row>
    <row r="516" spans="1:12" ht="12" customHeight="1" x14ac:dyDescent="0.2">
      <c r="A516" s="136"/>
      <c r="H516" s="137"/>
      <c r="I516" s="137"/>
      <c r="K516" s="137"/>
      <c r="L516" s="9"/>
    </row>
    <row r="517" spans="1:12" ht="12" customHeight="1" x14ac:dyDescent="0.2">
      <c r="A517" s="136"/>
      <c r="H517" s="137"/>
      <c r="I517" s="137"/>
      <c r="K517" s="137"/>
      <c r="L517" s="9"/>
    </row>
    <row r="518" spans="1:12" ht="12" customHeight="1" x14ac:dyDescent="0.2">
      <c r="A518" s="136"/>
      <c r="H518" s="137"/>
      <c r="I518" s="137"/>
      <c r="K518" s="137"/>
      <c r="L518" s="9"/>
    </row>
    <row r="519" spans="1:12" ht="12" customHeight="1" x14ac:dyDescent="0.2">
      <c r="A519" s="136"/>
      <c r="H519" s="137"/>
      <c r="I519" s="137"/>
      <c r="K519" s="137"/>
      <c r="L519" s="9"/>
    </row>
    <row r="520" spans="1:12" ht="12" customHeight="1" x14ac:dyDescent="0.2">
      <c r="A520" s="136"/>
      <c r="H520" s="137"/>
      <c r="I520" s="137"/>
      <c r="K520" s="137"/>
      <c r="L520" s="9"/>
    </row>
    <row r="521" spans="1:12" ht="12" customHeight="1" x14ac:dyDescent="0.2">
      <c r="A521" s="136"/>
      <c r="H521" s="137"/>
      <c r="I521" s="137"/>
      <c r="K521" s="137"/>
      <c r="L521" s="9"/>
    </row>
    <row r="522" spans="1:12" ht="12" customHeight="1" x14ac:dyDescent="0.2">
      <c r="A522" s="136"/>
      <c r="H522" s="137"/>
      <c r="I522" s="137"/>
      <c r="K522" s="137"/>
      <c r="L522" s="9"/>
    </row>
    <row r="523" spans="1:12" ht="12" customHeight="1" x14ac:dyDescent="0.2">
      <c r="A523" s="136"/>
      <c r="H523" s="137"/>
      <c r="I523" s="137"/>
      <c r="K523" s="137"/>
      <c r="L523" s="9"/>
    </row>
    <row r="524" spans="1:12" ht="12" customHeight="1" x14ac:dyDescent="0.2">
      <c r="A524" s="136"/>
      <c r="H524" s="137"/>
      <c r="I524" s="137"/>
      <c r="K524" s="137"/>
      <c r="L524" s="9"/>
    </row>
    <row r="525" spans="1:12" ht="12" customHeight="1" x14ac:dyDescent="0.2">
      <c r="A525" s="136"/>
      <c r="H525" s="137"/>
      <c r="I525" s="137"/>
      <c r="K525" s="137"/>
      <c r="L525" s="9"/>
    </row>
    <row r="526" spans="1:12" ht="12" customHeight="1" x14ac:dyDescent="0.2">
      <c r="A526" s="136"/>
      <c r="H526" s="137"/>
      <c r="I526" s="137"/>
      <c r="K526" s="137"/>
      <c r="L526" s="9"/>
    </row>
    <row r="527" spans="1:12" ht="12" customHeight="1" x14ac:dyDescent="0.2">
      <c r="A527" s="136"/>
      <c r="H527" s="137"/>
      <c r="I527" s="137"/>
      <c r="K527" s="137"/>
      <c r="L527" s="9"/>
    </row>
    <row r="528" spans="1:12" ht="12" customHeight="1" x14ac:dyDescent="0.2">
      <c r="A528" s="136"/>
      <c r="H528" s="137"/>
      <c r="I528" s="137"/>
      <c r="K528" s="137"/>
      <c r="L528" s="9"/>
    </row>
    <row r="529" spans="1:12" ht="12" customHeight="1" x14ac:dyDescent="0.2">
      <c r="A529" s="136"/>
      <c r="H529" s="137"/>
      <c r="I529" s="137"/>
      <c r="K529" s="137"/>
      <c r="L529" s="9"/>
    </row>
    <row r="530" spans="1:12" ht="12" customHeight="1" x14ac:dyDescent="0.2">
      <c r="A530" s="136"/>
      <c r="H530" s="137"/>
      <c r="I530" s="137"/>
      <c r="K530" s="137"/>
      <c r="L530" s="9"/>
    </row>
    <row r="531" spans="1:12" ht="12" customHeight="1" x14ac:dyDescent="0.2">
      <c r="A531" s="136"/>
      <c r="H531" s="137"/>
      <c r="I531" s="137"/>
      <c r="K531" s="137"/>
      <c r="L531" s="9"/>
    </row>
    <row r="532" spans="1:12" ht="12" customHeight="1" x14ac:dyDescent="0.2">
      <c r="A532" s="136"/>
      <c r="H532" s="137"/>
      <c r="I532" s="137"/>
      <c r="K532" s="137"/>
      <c r="L532" s="9"/>
    </row>
    <row r="533" spans="1:12" ht="12" customHeight="1" x14ac:dyDescent="0.2">
      <c r="A533" s="136"/>
      <c r="H533" s="137"/>
      <c r="I533" s="137"/>
      <c r="K533" s="137"/>
      <c r="L533" s="9"/>
    </row>
    <row r="534" spans="1:12" ht="12" customHeight="1" x14ac:dyDescent="0.2">
      <c r="A534" s="136"/>
      <c r="H534" s="137"/>
      <c r="I534" s="137"/>
      <c r="K534" s="137"/>
      <c r="L534" s="9"/>
    </row>
    <row r="535" spans="1:12" ht="12" customHeight="1" x14ac:dyDescent="0.2">
      <c r="A535" s="136"/>
      <c r="H535" s="137"/>
      <c r="I535" s="137"/>
      <c r="K535" s="137"/>
      <c r="L535" s="9"/>
    </row>
    <row r="536" spans="1:12" ht="12" customHeight="1" x14ac:dyDescent="0.2">
      <c r="A536" s="136"/>
      <c r="H536" s="137"/>
      <c r="I536" s="137"/>
      <c r="K536" s="137"/>
      <c r="L536" s="9"/>
    </row>
    <row r="537" spans="1:12" ht="12" customHeight="1" x14ac:dyDescent="0.2">
      <c r="A537" s="136"/>
      <c r="H537" s="137"/>
      <c r="I537" s="137"/>
      <c r="K537" s="137"/>
      <c r="L537" s="9"/>
    </row>
    <row r="538" spans="1:12" ht="12" customHeight="1" x14ac:dyDescent="0.2">
      <c r="A538" s="136"/>
      <c r="H538" s="137"/>
      <c r="I538" s="137"/>
      <c r="K538" s="137"/>
      <c r="L538" s="9"/>
    </row>
    <row r="539" spans="1:12" ht="12" customHeight="1" x14ac:dyDescent="0.2">
      <c r="A539" s="136"/>
      <c r="H539" s="137"/>
      <c r="I539" s="137"/>
      <c r="K539" s="137"/>
      <c r="L539" s="9"/>
    </row>
    <row r="540" spans="1:12" ht="12" customHeight="1" x14ac:dyDescent="0.2">
      <c r="A540" s="136"/>
      <c r="H540" s="137"/>
      <c r="I540" s="137"/>
      <c r="K540" s="137"/>
      <c r="L540" s="9"/>
    </row>
    <row r="541" spans="1:12" ht="12" customHeight="1" x14ac:dyDescent="0.2">
      <c r="A541" s="136"/>
      <c r="H541" s="137"/>
      <c r="I541" s="137"/>
      <c r="K541" s="137"/>
      <c r="L541" s="9"/>
    </row>
    <row r="542" spans="1:12" ht="12" customHeight="1" x14ac:dyDescent="0.2">
      <c r="A542" s="136"/>
      <c r="H542" s="137"/>
      <c r="I542" s="137"/>
      <c r="K542" s="137"/>
      <c r="L542" s="9"/>
    </row>
    <row r="543" spans="1:12" ht="12" customHeight="1" x14ac:dyDescent="0.2">
      <c r="A543" s="136"/>
      <c r="H543" s="137"/>
      <c r="I543" s="137"/>
      <c r="K543" s="137"/>
      <c r="L543" s="9"/>
    </row>
    <row r="544" spans="1:12" ht="12" customHeight="1" x14ac:dyDescent="0.2">
      <c r="A544" s="136"/>
      <c r="H544" s="137"/>
      <c r="I544" s="137"/>
      <c r="K544" s="137"/>
      <c r="L544" s="9"/>
    </row>
    <row r="545" spans="1:12" ht="12" customHeight="1" x14ac:dyDescent="0.2">
      <c r="A545" s="136"/>
      <c r="H545" s="137"/>
      <c r="I545" s="137"/>
      <c r="K545" s="137"/>
      <c r="L545" s="9"/>
    </row>
    <row r="546" spans="1:12" ht="12" customHeight="1" x14ac:dyDescent="0.2">
      <c r="A546" s="136"/>
      <c r="H546" s="137"/>
      <c r="I546" s="137"/>
      <c r="K546" s="137"/>
      <c r="L546" s="9"/>
    </row>
    <row r="547" spans="1:12" ht="12" customHeight="1" x14ac:dyDescent="0.2">
      <c r="A547" s="136"/>
      <c r="H547" s="137"/>
      <c r="I547" s="137"/>
      <c r="K547" s="137"/>
      <c r="L547" s="9"/>
    </row>
    <row r="548" spans="1:12" ht="12" customHeight="1" x14ac:dyDescent="0.2">
      <c r="A548" s="136"/>
      <c r="H548" s="137"/>
      <c r="I548" s="137"/>
      <c r="K548" s="137"/>
      <c r="L548" s="9"/>
    </row>
    <row r="549" spans="1:12" ht="12" customHeight="1" x14ac:dyDescent="0.2">
      <c r="A549" s="136"/>
      <c r="H549" s="137"/>
      <c r="I549" s="137"/>
      <c r="K549" s="137"/>
      <c r="L549" s="9"/>
    </row>
    <row r="550" spans="1:12" ht="12" customHeight="1" x14ac:dyDescent="0.2">
      <c r="A550" s="136"/>
      <c r="H550" s="137"/>
      <c r="I550" s="137"/>
      <c r="K550" s="137"/>
      <c r="L550" s="9"/>
    </row>
    <row r="551" spans="1:12" ht="12" customHeight="1" x14ac:dyDescent="0.2">
      <c r="A551" s="136"/>
      <c r="H551" s="137"/>
      <c r="I551" s="137"/>
      <c r="K551" s="137"/>
      <c r="L551" s="9"/>
    </row>
    <row r="552" spans="1:12" ht="12" customHeight="1" x14ac:dyDescent="0.2">
      <c r="A552" s="136"/>
      <c r="H552" s="137"/>
      <c r="I552" s="137"/>
      <c r="K552" s="137"/>
      <c r="L552" s="9"/>
    </row>
    <row r="553" spans="1:12" ht="12" customHeight="1" x14ac:dyDescent="0.2">
      <c r="A553" s="136"/>
      <c r="H553" s="137"/>
      <c r="I553" s="137"/>
      <c r="K553" s="137"/>
      <c r="L553" s="9"/>
    </row>
    <row r="554" spans="1:12" ht="12" customHeight="1" x14ac:dyDescent="0.2">
      <c r="A554" s="136"/>
      <c r="H554" s="137"/>
      <c r="I554" s="137"/>
      <c r="K554" s="137"/>
      <c r="L554" s="9"/>
    </row>
    <row r="555" spans="1:12" ht="12" customHeight="1" x14ac:dyDescent="0.2">
      <c r="A555" s="136"/>
      <c r="H555" s="137"/>
      <c r="I555" s="137"/>
      <c r="K555" s="137"/>
      <c r="L555" s="9"/>
    </row>
    <row r="556" spans="1:12" ht="12" customHeight="1" x14ac:dyDescent="0.2">
      <c r="A556" s="136"/>
      <c r="H556" s="137"/>
      <c r="I556" s="137"/>
      <c r="K556" s="137"/>
      <c r="L556" s="9"/>
    </row>
    <row r="557" spans="1:12" ht="12" customHeight="1" x14ac:dyDescent="0.2">
      <c r="A557" s="136"/>
      <c r="H557" s="137"/>
      <c r="I557" s="137"/>
      <c r="K557" s="137"/>
      <c r="L557" s="9"/>
    </row>
    <row r="558" spans="1:12" ht="12" customHeight="1" x14ac:dyDescent="0.2">
      <c r="A558" s="136"/>
      <c r="H558" s="137"/>
      <c r="I558" s="137"/>
      <c r="K558" s="137"/>
      <c r="L558" s="9"/>
    </row>
    <row r="559" spans="1:12" ht="12" customHeight="1" x14ac:dyDescent="0.2">
      <c r="A559" s="136"/>
      <c r="H559" s="137"/>
      <c r="I559" s="137"/>
      <c r="K559" s="137"/>
      <c r="L559" s="9"/>
    </row>
    <row r="560" spans="1:12" ht="12" customHeight="1" x14ac:dyDescent="0.2">
      <c r="A560" s="136"/>
      <c r="H560" s="137"/>
      <c r="I560" s="137"/>
      <c r="K560" s="137"/>
      <c r="L560" s="9"/>
    </row>
    <row r="561" spans="1:12" ht="12" customHeight="1" x14ac:dyDescent="0.2">
      <c r="A561" s="136"/>
      <c r="H561" s="137"/>
      <c r="I561" s="137"/>
      <c r="K561" s="137"/>
      <c r="L561" s="9"/>
    </row>
    <row r="562" spans="1:12" ht="12" customHeight="1" x14ac:dyDescent="0.2">
      <c r="A562" s="136"/>
      <c r="H562" s="137"/>
      <c r="I562" s="137"/>
      <c r="K562" s="137"/>
      <c r="L562" s="9"/>
    </row>
    <row r="563" spans="1:12" ht="12" customHeight="1" x14ac:dyDescent="0.2">
      <c r="A563" s="136"/>
      <c r="H563" s="137"/>
      <c r="I563" s="137"/>
      <c r="K563" s="137"/>
      <c r="L563" s="9"/>
    </row>
    <row r="564" spans="1:12" ht="12" customHeight="1" x14ac:dyDescent="0.2">
      <c r="A564" s="136"/>
      <c r="H564" s="137"/>
      <c r="I564" s="137"/>
      <c r="K564" s="137"/>
      <c r="L564" s="9"/>
    </row>
    <row r="565" spans="1:12" ht="12" customHeight="1" x14ac:dyDescent="0.2">
      <c r="A565" s="136"/>
      <c r="H565" s="137"/>
      <c r="I565" s="137"/>
      <c r="K565" s="137"/>
      <c r="L565" s="9"/>
    </row>
    <row r="566" spans="1:12" ht="12" customHeight="1" x14ac:dyDescent="0.2">
      <c r="A566" s="136"/>
      <c r="H566" s="137"/>
      <c r="I566" s="137"/>
      <c r="K566" s="137"/>
      <c r="L566" s="9"/>
    </row>
    <row r="567" spans="1:12" ht="12" customHeight="1" x14ac:dyDescent="0.2">
      <c r="A567" s="136"/>
      <c r="H567" s="137"/>
      <c r="I567" s="137"/>
      <c r="K567" s="137"/>
      <c r="L567" s="9"/>
    </row>
    <row r="568" spans="1:12" ht="12" customHeight="1" x14ac:dyDescent="0.2">
      <c r="A568" s="136"/>
      <c r="H568" s="137"/>
      <c r="I568" s="137"/>
      <c r="K568" s="137"/>
      <c r="L568" s="9"/>
    </row>
    <row r="569" spans="1:12" ht="12" customHeight="1" x14ac:dyDescent="0.2">
      <c r="A569" s="136"/>
      <c r="H569" s="137"/>
      <c r="I569" s="137"/>
      <c r="K569" s="137"/>
      <c r="L569" s="9"/>
    </row>
    <row r="570" spans="1:12" ht="12" customHeight="1" x14ac:dyDescent="0.2">
      <c r="A570" s="136"/>
      <c r="H570" s="137"/>
      <c r="I570" s="137"/>
      <c r="K570" s="137"/>
      <c r="L570" s="9"/>
    </row>
    <row r="571" spans="1:12" ht="12" customHeight="1" x14ac:dyDescent="0.2">
      <c r="A571" s="136"/>
      <c r="H571" s="137"/>
      <c r="I571" s="137"/>
      <c r="K571" s="137"/>
      <c r="L571" s="9"/>
    </row>
    <row r="572" spans="1:12" ht="12" customHeight="1" x14ac:dyDescent="0.2">
      <c r="A572" s="136"/>
      <c r="H572" s="137"/>
      <c r="I572" s="137"/>
      <c r="K572" s="137"/>
      <c r="L572" s="9"/>
    </row>
    <row r="573" spans="1:12" ht="12" customHeight="1" x14ac:dyDescent="0.2">
      <c r="A573" s="136"/>
      <c r="H573" s="137"/>
      <c r="I573" s="137"/>
      <c r="K573" s="137"/>
      <c r="L573" s="9"/>
    </row>
    <row r="574" spans="1:12" ht="12" customHeight="1" x14ac:dyDescent="0.2">
      <c r="A574" s="136"/>
      <c r="H574" s="137"/>
      <c r="I574" s="137"/>
      <c r="K574" s="137"/>
      <c r="L574" s="9"/>
    </row>
    <row r="575" spans="1:12" ht="12" customHeight="1" x14ac:dyDescent="0.2">
      <c r="A575" s="136"/>
      <c r="H575" s="137"/>
      <c r="I575" s="137"/>
      <c r="K575" s="137"/>
      <c r="L575" s="9"/>
    </row>
    <row r="576" spans="1:12" ht="12" customHeight="1" x14ac:dyDescent="0.2">
      <c r="A576" s="136"/>
      <c r="H576" s="137"/>
      <c r="I576" s="137"/>
      <c r="K576" s="137"/>
      <c r="L576" s="9"/>
    </row>
    <row r="577" spans="1:12" ht="12" customHeight="1" x14ac:dyDescent="0.2">
      <c r="A577" s="136"/>
      <c r="H577" s="137"/>
      <c r="I577" s="137"/>
      <c r="K577" s="137"/>
      <c r="L577" s="9"/>
    </row>
    <row r="578" spans="1:12" ht="12" customHeight="1" x14ac:dyDescent="0.2">
      <c r="A578" s="136"/>
      <c r="H578" s="137"/>
      <c r="I578" s="137"/>
      <c r="K578" s="137"/>
      <c r="L578" s="9"/>
    </row>
    <row r="579" spans="1:12" ht="12" customHeight="1" x14ac:dyDescent="0.2">
      <c r="A579" s="136"/>
      <c r="H579" s="137"/>
      <c r="I579" s="137"/>
      <c r="K579" s="137"/>
      <c r="L579" s="9"/>
    </row>
    <row r="580" spans="1:12" ht="12" customHeight="1" x14ac:dyDescent="0.2">
      <c r="A580" s="136"/>
      <c r="H580" s="137"/>
      <c r="I580" s="137"/>
      <c r="K580" s="137"/>
      <c r="L580" s="9"/>
    </row>
    <row r="581" spans="1:12" ht="12" customHeight="1" x14ac:dyDescent="0.2">
      <c r="A581" s="136"/>
      <c r="H581" s="137"/>
      <c r="I581" s="137"/>
      <c r="K581" s="137"/>
      <c r="L581" s="9"/>
    </row>
    <row r="582" spans="1:12" ht="12" customHeight="1" x14ac:dyDescent="0.2">
      <c r="A582" s="136"/>
      <c r="H582" s="137"/>
      <c r="I582" s="137"/>
      <c r="K582" s="137"/>
      <c r="L582" s="9"/>
    </row>
    <row r="583" spans="1:12" ht="12" customHeight="1" x14ac:dyDescent="0.2">
      <c r="A583" s="136"/>
      <c r="H583" s="137"/>
      <c r="I583" s="137"/>
      <c r="K583" s="137"/>
      <c r="L583" s="9"/>
    </row>
    <row r="584" spans="1:12" ht="12" customHeight="1" x14ac:dyDescent="0.2">
      <c r="A584" s="136"/>
      <c r="H584" s="137"/>
      <c r="I584" s="137"/>
      <c r="K584" s="137"/>
      <c r="L584" s="9"/>
    </row>
    <row r="585" spans="1:12" ht="12" customHeight="1" x14ac:dyDescent="0.2">
      <c r="A585" s="136"/>
      <c r="H585" s="137"/>
      <c r="I585" s="137"/>
      <c r="K585" s="137"/>
      <c r="L585" s="9"/>
    </row>
    <row r="586" spans="1:12" ht="12" customHeight="1" x14ac:dyDescent="0.2">
      <c r="A586" s="136"/>
      <c r="H586" s="137"/>
      <c r="I586" s="137"/>
      <c r="K586" s="137"/>
      <c r="L586" s="9"/>
    </row>
    <row r="587" spans="1:12" ht="12" customHeight="1" x14ac:dyDescent="0.2">
      <c r="A587" s="136"/>
      <c r="H587" s="137"/>
      <c r="I587" s="137"/>
      <c r="K587" s="137"/>
      <c r="L587" s="9"/>
    </row>
    <row r="588" spans="1:12" ht="12" customHeight="1" x14ac:dyDescent="0.2">
      <c r="A588" s="136"/>
      <c r="H588" s="137"/>
      <c r="I588" s="137"/>
      <c r="K588" s="137"/>
      <c r="L588" s="9"/>
    </row>
    <row r="589" spans="1:12" ht="12" customHeight="1" x14ac:dyDescent="0.2">
      <c r="A589" s="136"/>
      <c r="H589" s="137"/>
      <c r="I589" s="137"/>
      <c r="K589" s="137"/>
      <c r="L589" s="9"/>
    </row>
    <row r="590" spans="1:12" ht="12" customHeight="1" x14ac:dyDescent="0.2">
      <c r="A590" s="136"/>
      <c r="H590" s="137"/>
      <c r="I590" s="137"/>
      <c r="K590" s="137"/>
      <c r="L590" s="9"/>
    </row>
    <row r="591" spans="1:12" ht="12" customHeight="1" x14ac:dyDescent="0.2">
      <c r="A591" s="136"/>
      <c r="H591" s="137"/>
      <c r="I591" s="137"/>
      <c r="K591" s="137"/>
      <c r="L591" s="9"/>
    </row>
    <row r="592" spans="1:12" ht="12" customHeight="1" x14ac:dyDescent="0.2">
      <c r="A592" s="136"/>
      <c r="H592" s="137"/>
      <c r="I592" s="137"/>
      <c r="K592" s="137"/>
      <c r="L592" s="9"/>
    </row>
    <row r="593" spans="1:12" ht="12" customHeight="1" x14ac:dyDescent="0.2">
      <c r="A593" s="136"/>
      <c r="H593" s="137"/>
      <c r="I593" s="137"/>
      <c r="K593" s="137"/>
      <c r="L593" s="9"/>
    </row>
    <row r="594" spans="1:12" ht="12" customHeight="1" x14ac:dyDescent="0.2">
      <c r="A594" s="136"/>
      <c r="H594" s="137"/>
      <c r="I594" s="137"/>
      <c r="K594" s="137"/>
      <c r="L594" s="9"/>
    </row>
    <row r="595" spans="1:12" ht="12" customHeight="1" x14ac:dyDescent="0.2">
      <c r="A595" s="136"/>
      <c r="H595" s="137"/>
      <c r="I595" s="137"/>
      <c r="K595" s="137"/>
      <c r="L595" s="9"/>
    </row>
    <row r="596" spans="1:12" ht="12" customHeight="1" x14ac:dyDescent="0.2">
      <c r="A596" s="136"/>
      <c r="H596" s="137"/>
      <c r="I596" s="137"/>
      <c r="K596" s="137"/>
      <c r="L596" s="9"/>
    </row>
    <row r="597" spans="1:12" ht="12" customHeight="1" x14ac:dyDescent="0.2">
      <c r="A597" s="136"/>
      <c r="H597" s="137"/>
      <c r="I597" s="137"/>
      <c r="K597" s="137"/>
      <c r="L597" s="9"/>
    </row>
    <row r="598" spans="1:12" ht="12" customHeight="1" x14ac:dyDescent="0.2">
      <c r="A598" s="136"/>
      <c r="H598" s="137"/>
      <c r="I598" s="137"/>
      <c r="K598" s="137"/>
      <c r="L598" s="9"/>
    </row>
    <row r="599" spans="1:12" ht="12" customHeight="1" x14ac:dyDescent="0.2">
      <c r="A599" s="136"/>
      <c r="H599" s="137"/>
      <c r="I599" s="137"/>
      <c r="K599" s="137"/>
      <c r="L599" s="9"/>
    </row>
    <row r="600" spans="1:12" ht="12" customHeight="1" x14ac:dyDescent="0.2">
      <c r="A600" s="136"/>
      <c r="H600" s="137"/>
      <c r="I600" s="137"/>
      <c r="K600" s="137"/>
      <c r="L600" s="9"/>
    </row>
    <row r="601" spans="1:12" ht="12" customHeight="1" x14ac:dyDescent="0.2">
      <c r="A601" s="136"/>
      <c r="H601" s="137"/>
      <c r="I601" s="137"/>
      <c r="K601" s="137"/>
      <c r="L601" s="9"/>
    </row>
    <row r="602" spans="1:12" ht="12" customHeight="1" x14ac:dyDescent="0.2">
      <c r="A602" s="136"/>
      <c r="H602" s="137"/>
      <c r="I602" s="137"/>
      <c r="K602" s="137"/>
      <c r="L602" s="9"/>
    </row>
    <row r="603" spans="1:12" ht="12" customHeight="1" x14ac:dyDescent="0.2">
      <c r="A603" s="136"/>
      <c r="H603" s="137"/>
      <c r="I603" s="137"/>
      <c r="K603" s="137"/>
      <c r="L603" s="9"/>
    </row>
    <row r="604" spans="1:12" ht="12" customHeight="1" x14ac:dyDescent="0.2">
      <c r="A604" s="136"/>
      <c r="H604" s="137"/>
      <c r="I604" s="137"/>
      <c r="K604" s="137"/>
      <c r="L604" s="9"/>
    </row>
    <row r="605" spans="1:12" ht="12" customHeight="1" x14ac:dyDescent="0.2">
      <c r="A605" s="136"/>
      <c r="H605" s="137"/>
      <c r="I605" s="137"/>
      <c r="K605" s="137"/>
      <c r="L605" s="9"/>
    </row>
    <row r="606" spans="1:12" ht="12" customHeight="1" x14ac:dyDescent="0.2">
      <c r="A606" s="136"/>
      <c r="H606" s="137"/>
      <c r="I606" s="137"/>
      <c r="K606" s="137"/>
      <c r="L606" s="9"/>
    </row>
    <row r="607" spans="1:12" ht="12" customHeight="1" x14ac:dyDescent="0.2">
      <c r="A607" s="136"/>
      <c r="H607" s="137"/>
      <c r="I607" s="137"/>
      <c r="K607" s="137"/>
      <c r="L607" s="9"/>
    </row>
    <row r="608" spans="1:12" ht="12" customHeight="1" x14ac:dyDescent="0.2">
      <c r="A608" s="136"/>
      <c r="H608" s="137"/>
      <c r="I608" s="137"/>
      <c r="K608" s="137"/>
      <c r="L608" s="9"/>
    </row>
    <row r="609" spans="1:12" ht="12" customHeight="1" x14ac:dyDescent="0.2">
      <c r="A609" s="136"/>
      <c r="H609" s="137"/>
      <c r="I609" s="137"/>
      <c r="K609" s="137"/>
      <c r="L609" s="9"/>
    </row>
    <row r="610" spans="1:12" ht="12" customHeight="1" x14ac:dyDescent="0.2">
      <c r="A610" s="136"/>
      <c r="H610" s="137"/>
      <c r="I610" s="137"/>
      <c r="K610" s="137"/>
      <c r="L610" s="9"/>
    </row>
    <row r="611" spans="1:12" ht="12" customHeight="1" x14ac:dyDescent="0.2">
      <c r="A611" s="136"/>
      <c r="H611" s="137"/>
      <c r="I611" s="137"/>
      <c r="K611" s="137"/>
      <c r="L611" s="9"/>
    </row>
    <row r="612" spans="1:12" ht="12" customHeight="1" x14ac:dyDescent="0.2">
      <c r="A612" s="136"/>
      <c r="H612" s="137"/>
      <c r="I612" s="137"/>
      <c r="K612" s="137"/>
      <c r="L612" s="9"/>
    </row>
    <row r="613" spans="1:12" ht="12" customHeight="1" x14ac:dyDescent="0.2">
      <c r="A613" s="136"/>
      <c r="H613" s="137"/>
      <c r="I613" s="137"/>
      <c r="K613" s="137"/>
      <c r="L613" s="9"/>
    </row>
    <row r="614" spans="1:12" ht="12" customHeight="1" x14ac:dyDescent="0.2">
      <c r="A614" s="136"/>
      <c r="H614" s="137"/>
      <c r="I614" s="137"/>
      <c r="K614" s="137"/>
      <c r="L614" s="9"/>
    </row>
    <row r="615" spans="1:12" ht="12" customHeight="1" x14ac:dyDescent="0.2">
      <c r="A615" s="136"/>
      <c r="H615" s="137"/>
      <c r="I615" s="137"/>
      <c r="K615" s="137"/>
      <c r="L615" s="9"/>
    </row>
    <row r="616" spans="1:12" ht="12" customHeight="1" x14ac:dyDescent="0.2">
      <c r="A616" s="136"/>
      <c r="H616" s="137"/>
      <c r="I616" s="137"/>
      <c r="K616" s="137"/>
      <c r="L616" s="9"/>
    </row>
    <row r="617" spans="1:12" ht="12" customHeight="1" x14ac:dyDescent="0.2">
      <c r="A617" s="136"/>
      <c r="H617" s="137"/>
      <c r="I617" s="137"/>
      <c r="K617" s="137"/>
      <c r="L617" s="9"/>
    </row>
    <row r="618" spans="1:12" ht="12" customHeight="1" x14ac:dyDescent="0.2">
      <c r="A618" s="136"/>
      <c r="H618" s="137"/>
      <c r="I618" s="137"/>
      <c r="K618" s="137"/>
      <c r="L618" s="9"/>
    </row>
    <row r="619" spans="1:12" ht="12" customHeight="1" x14ac:dyDescent="0.2">
      <c r="A619" s="136"/>
      <c r="H619" s="137"/>
      <c r="I619" s="137"/>
      <c r="K619" s="137"/>
      <c r="L619" s="9"/>
    </row>
    <row r="620" spans="1:12" ht="12" customHeight="1" x14ac:dyDescent="0.2">
      <c r="A620" s="136"/>
      <c r="H620" s="137"/>
      <c r="I620" s="137"/>
      <c r="K620" s="137"/>
      <c r="L620" s="9"/>
    </row>
    <row r="621" spans="1:12" ht="12" customHeight="1" x14ac:dyDescent="0.2">
      <c r="A621" s="136"/>
      <c r="H621" s="137"/>
      <c r="I621" s="137"/>
      <c r="K621" s="137"/>
      <c r="L621" s="9"/>
    </row>
    <row r="622" spans="1:12" ht="12" customHeight="1" x14ac:dyDescent="0.2">
      <c r="A622" s="136"/>
      <c r="H622" s="137"/>
      <c r="I622" s="137"/>
      <c r="K622" s="137"/>
      <c r="L622" s="9"/>
    </row>
    <row r="623" spans="1:12" ht="12" customHeight="1" x14ac:dyDescent="0.2">
      <c r="A623" s="136"/>
      <c r="H623" s="137"/>
      <c r="I623" s="137"/>
      <c r="K623" s="137"/>
      <c r="L623" s="9"/>
    </row>
    <row r="624" spans="1:12" ht="12" customHeight="1" x14ac:dyDescent="0.2">
      <c r="A624" s="136"/>
      <c r="H624" s="137"/>
      <c r="I624" s="137"/>
      <c r="K624" s="137"/>
      <c r="L624" s="9"/>
    </row>
    <row r="625" spans="1:12" ht="12" customHeight="1" x14ac:dyDescent="0.2">
      <c r="A625" s="136"/>
      <c r="H625" s="137"/>
      <c r="I625" s="137"/>
      <c r="K625" s="137"/>
      <c r="L625" s="9"/>
    </row>
    <row r="626" spans="1:12" ht="12" customHeight="1" x14ac:dyDescent="0.2">
      <c r="A626" s="136"/>
      <c r="H626" s="137"/>
      <c r="I626" s="137"/>
      <c r="K626" s="137"/>
      <c r="L626" s="9"/>
    </row>
    <row r="627" spans="1:12" ht="12" customHeight="1" x14ac:dyDescent="0.2">
      <c r="A627" s="136"/>
      <c r="H627" s="137"/>
      <c r="I627" s="137"/>
      <c r="K627" s="137"/>
      <c r="L627" s="9"/>
    </row>
    <row r="628" spans="1:12" ht="12" customHeight="1" x14ac:dyDescent="0.2">
      <c r="A628" s="136"/>
      <c r="H628" s="137"/>
      <c r="I628" s="137"/>
      <c r="K628" s="137"/>
      <c r="L628" s="9"/>
    </row>
    <row r="629" spans="1:12" ht="12" customHeight="1" x14ac:dyDescent="0.2">
      <c r="A629" s="136"/>
      <c r="H629" s="137"/>
      <c r="I629" s="137"/>
      <c r="K629" s="137"/>
      <c r="L629" s="9"/>
    </row>
    <row r="630" spans="1:12" ht="12" customHeight="1" x14ac:dyDescent="0.2">
      <c r="A630" s="136"/>
      <c r="H630" s="137"/>
      <c r="I630" s="137"/>
      <c r="K630" s="137"/>
      <c r="L630" s="9"/>
    </row>
    <row r="631" spans="1:12" ht="12" customHeight="1" x14ac:dyDescent="0.2">
      <c r="A631" s="136"/>
      <c r="H631" s="137"/>
      <c r="I631" s="137"/>
      <c r="K631" s="137"/>
      <c r="L631" s="9"/>
    </row>
    <row r="632" spans="1:12" ht="12" customHeight="1" x14ac:dyDescent="0.2">
      <c r="A632" s="136"/>
      <c r="H632" s="137"/>
      <c r="I632" s="137"/>
      <c r="K632" s="137"/>
      <c r="L632" s="9"/>
    </row>
    <row r="633" spans="1:12" ht="12" customHeight="1" x14ac:dyDescent="0.2">
      <c r="A633" s="136"/>
      <c r="H633" s="137"/>
      <c r="I633" s="137"/>
      <c r="K633" s="137"/>
      <c r="L633" s="9"/>
    </row>
    <row r="634" spans="1:12" ht="12" customHeight="1" x14ac:dyDescent="0.2">
      <c r="A634" s="136"/>
      <c r="H634" s="137"/>
      <c r="I634" s="137"/>
      <c r="K634" s="137"/>
      <c r="L634" s="9"/>
    </row>
    <row r="635" spans="1:12" ht="12" customHeight="1" x14ac:dyDescent="0.2">
      <c r="A635" s="136"/>
      <c r="H635" s="137"/>
      <c r="I635" s="137"/>
      <c r="K635" s="137"/>
      <c r="L635" s="9"/>
    </row>
    <row r="636" spans="1:12" ht="12" customHeight="1" x14ac:dyDescent="0.2">
      <c r="A636" s="136"/>
      <c r="H636" s="137"/>
      <c r="I636" s="137"/>
      <c r="K636" s="137"/>
      <c r="L636" s="9"/>
    </row>
    <row r="637" spans="1:12" ht="12" customHeight="1" x14ac:dyDescent="0.2">
      <c r="A637" s="136"/>
      <c r="H637" s="137"/>
      <c r="I637" s="137"/>
      <c r="K637" s="137"/>
      <c r="L637" s="9"/>
    </row>
    <row r="638" spans="1:12" ht="12" customHeight="1" x14ac:dyDescent="0.2">
      <c r="A638" s="136"/>
      <c r="H638" s="137"/>
      <c r="I638" s="137"/>
      <c r="K638" s="137"/>
      <c r="L638" s="9"/>
    </row>
    <row r="639" spans="1:12" ht="12" customHeight="1" x14ac:dyDescent="0.2">
      <c r="A639" s="136"/>
      <c r="H639" s="137"/>
      <c r="I639" s="137"/>
      <c r="K639" s="137"/>
      <c r="L639" s="9"/>
    </row>
    <row r="640" spans="1:12" ht="12" customHeight="1" x14ac:dyDescent="0.2">
      <c r="A640" s="136"/>
      <c r="H640" s="137"/>
      <c r="I640" s="137"/>
      <c r="K640" s="137"/>
      <c r="L640" s="9"/>
    </row>
    <row r="641" spans="1:12" ht="12" customHeight="1" x14ac:dyDescent="0.2">
      <c r="A641" s="136"/>
      <c r="H641" s="137"/>
      <c r="I641" s="137"/>
      <c r="K641" s="137"/>
      <c r="L641" s="9"/>
    </row>
    <row r="642" spans="1:12" ht="12" customHeight="1" x14ac:dyDescent="0.2">
      <c r="A642" s="136"/>
      <c r="H642" s="137"/>
      <c r="I642" s="137"/>
      <c r="K642" s="137"/>
      <c r="L642" s="9"/>
    </row>
    <row r="643" spans="1:12" ht="12" customHeight="1" x14ac:dyDescent="0.2">
      <c r="A643" s="136"/>
      <c r="H643" s="137"/>
      <c r="I643" s="137"/>
      <c r="K643" s="137"/>
      <c r="L643" s="9"/>
    </row>
    <row r="644" spans="1:12" ht="12" customHeight="1" x14ac:dyDescent="0.2">
      <c r="A644" s="136"/>
      <c r="H644" s="137"/>
      <c r="I644" s="137"/>
      <c r="K644" s="137"/>
      <c r="L644" s="9"/>
    </row>
    <row r="645" spans="1:12" ht="12" customHeight="1" x14ac:dyDescent="0.2">
      <c r="A645" s="136"/>
      <c r="H645" s="137"/>
      <c r="I645" s="137"/>
      <c r="K645" s="137"/>
      <c r="L645" s="9"/>
    </row>
    <row r="646" spans="1:12" ht="12" customHeight="1" x14ac:dyDescent="0.2">
      <c r="A646" s="136"/>
      <c r="H646" s="137"/>
      <c r="I646" s="137"/>
      <c r="K646" s="137"/>
      <c r="L646" s="9"/>
    </row>
    <row r="647" spans="1:12" ht="12" customHeight="1" x14ac:dyDescent="0.2">
      <c r="A647" s="136"/>
      <c r="H647" s="137"/>
      <c r="I647" s="137"/>
      <c r="K647" s="137"/>
      <c r="L647" s="9"/>
    </row>
    <row r="648" spans="1:12" ht="12" customHeight="1" x14ac:dyDescent="0.2">
      <c r="A648" s="136"/>
      <c r="H648" s="137"/>
      <c r="I648" s="137"/>
      <c r="K648" s="137"/>
      <c r="L648" s="9"/>
    </row>
    <row r="649" spans="1:12" ht="12" customHeight="1" x14ac:dyDescent="0.2">
      <c r="A649" s="136"/>
      <c r="H649" s="137"/>
      <c r="I649" s="137"/>
      <c r="K649" s="137"/>
      <c r="L649" s="9"/>
    </row>
    <row r="650" spans="1:12" ht="12" customHeight="1" x14ac:dyDescent="0.2">
      <c r="A650" s="136"/>
      <c r="H650" s="137"/>
      <c r="I650" s="137"/>
      <c r="K650" s="137"/>
      <c r="L650" s="9"/>
    </row>
    <row r="651" spans="1:12" ht="12" customHeight="1" x14ac:dyDescent="0.2">
      <c r="A651" s="136"/>
      <c r="H651" s="137"/>
      <c r="I651" s="137"/>
      <c r="K651" s="137"/>
      <c r="L651" s="9"/>
    </row>
    <row r="652" spans="1:12" ht="12" customHeight="1" x14ac:dyDescent="0.2">
      <c r="A652" s="136"/>
      <c r="H652" s="137"/>
      <c r="I652" s="137"/>
      <c r="K652" s="137"/>
      <c r="L652" s="9"/>
    </row>
    <row r="653" spans="1:12" ht="12" customHeight="1" x14ac:dyDescent="0.2">
      <c r="A653" s="136"/>
      <c r="H653" s="137"/>
      <c r="I653" s="137"/>
      <c r="K653" s="137"/>
      <c r="L653" s="9"/>
    </row>
    <row r="654" spans="1:12" ht="12" customHeight="1" x14ac:dyDescent="0.2">
      <c r="A654" s="136"/>
      <c r="H654" s="137"/>
      <c r="I654" s="137"/>
      <c r="K654" s="137"/>
      <c r="L654" s="9"/>
    </row>
    <row r="655" spans="1:12" ht="12" customHeight="1" x14ac:dyDescent="0.2">
      <c r="A655" s="136"/>
      <c r="H655" s="137"/>
      <c r="I655" s="137"/>
      <c r="K655" s="137"/>
      <c r="L655" s="9"/>
    </row>
    <row r="656" spans="1:12" ht="12" customHeight="1" x14ac:dyDescent="0.2">
      <c r="A656" s="136"/>
      <c r="H656" s="137"/>
      <c r="I656" s="137"/>
      <c r="K656" s="137"/>
      <c r="L656" s="9"/>
    </row>
    <row r="657" spans="1:12" ht="12" customHeight="1" x14ac:dyDescent="0.2">
      <c r="A657" s="136"/>
      <c r="H657" s="137"/>
      <c r="I657" s="137"/>
      <c r="K657" s="137"/>
      <c r="L657" s="9"/>
    </row>
    <row r="658" spans="1:12" ht="12" customHeight="1" x14ac:dyDescent="0.2">
      <c r="A658" s="136"/>
      <c r="H658" s="137"/>
      <c r="I658" s="137"/>
      <c r="K658" s="137"/>
      <c r="L658" s="9"/>
    </row>
    <row r="659" spans="1:12" ht="12" customHeight="1" x14ac:dyDescent="0.2">
      <c r="A659" s="136"/>
      <c r="H659" s="137"/>
      <c r="I659" s="137"/>
      <c r="K659" s="137"/>
      <c r="L659" s="9"/>
    </row>
    <row r="660" spans="1:12" ht="12" customHeight="1" x14ac:dyDescent="0.2">
      <c r="A660" s="136"/>
      <c r="H660" s="137"/>
      <c r="I660" s="137"/>
      <c r="K660" s="137"/>
      <c r="L660" s="9"/>
    </row>
    <row r="661" spans="1:12" ht="12" customHeight="1" x14ac:dyDescent="0.2">
      <c r="A661" s="136"/>
      <c r="H661" s="137"/>
      <c r="I661" s="137"/>
      <c r="K661" s="137"/>
      <c r="L661" s="9"/>
    </row>
    <row r="662" spans="1:12" ht="12" customHeight="1" x14ac:dyDescent="0.2">
      <c r="A662" s="136"/>
      <c r="H662" s="137"/>
      <c r="I662" s="137"/>
      <c r="K662" s="137"/>
      <c r="L662" s="9"/>
    </row>
    <row r="663" spans="1:12" ht="12" customHeight="1" x14ac:dyDescent="0.2">
      <c r="A663" s="136"/>
      <c r="H663" s="137"/>
      <c r="I663" s="137"/>
      <c r="K663" s="137"/>
      <c r="L663" s="9"/>
    </row>
    <row r="664" spans="1:12" ht="12" customHeight="1" x14ac:dyDescent="0.2">
      <c r="A664" s="136"/>
      <c r="H664" s="137"/>
      <c r="I664" s="137"/>
      <c r="K664" s="137"/>
      <c r="L664" s="9"/>
    </row>
    <row r="665" spans="1:12" ht="12" customHeight="1" x14ac:dyDescent="0.2">
      <c r="A665" s="136"/>
      <c r="H665" s="137"/>
      <c r="I665" s="137"/>
      <c r="K665" s="137"/>
      <c r="L665" s="9"/>
    </row>
    <row r="666" spans="1:12" ht="12" customHeight="1" x14ac:dyDescent="0.2">
      <c r="A666" s="136"/>
      <c r="H666" s="137"/>
      <c r="I666" s="137"/>
      <c r="K666" s="137"/>
      <c r="L666" s="9"/>
    </row>
    <row r="667" spans="1:12" ht="12" customHeight="1" x14ac:dyDescent="0.2">
      <c r="A667" s="136"/>
      <c r="H667" s="137"/>
      <c r="I667" s="137"/>
      <c r="K667" s="137"/>
      <c r="L667" s="9"/>
    </row>
    <row r="668" spans="1:12" ht="12" customHeight="1" x14ac:dyDescent="0.2">
      <c r="A668" s="136"/>
      <c r="H668" s="137"/>
      <c r="I668" s="137"/>
      <c r="K668" s="137"/>
      <c r="L668" s="9"/>
    </row>
    <row r="669" spans="1:12" ht="12" customHeight="1" x14ac:dyDescent="0.2">
      <c r="A669" s="136"/>
      <c r="H669" s="137"/>
      <c r="I669" s="137"/>
      <c r="K669" s="137"/>
      <c r="L669" s="9"/>
    </row>
    <row r="670" spans="1:12" ht="12" customHeight="1" x14ac:dyDescent="0.2">
      <c r="A670" s="136"/>
      <c r="H670" s="137"/>
      <c r="I670" s="137"/>
      <c r="K670" s="137"/>
      <c r="L670" s="9"/>
    </row>
    <row r="671" spans="1:12" ht="12" customHeight="1" x14ac:dyDescent="0.2">
      <c r="A671" s="136"/>
      <c r="H671" s="137"/>
      <c r="I671" s="137"/>
      <c r="K671" s="137"/>
      <c r="L671" s="9"/>
    </row>
    <row r="672" spans="1:12" ht="12" customHeight="1" x14ac:dyDescent="0.2">
      <c r="A672" s="136"/>
      <c r="H672" s="137"/>
      <c r="I672" s="137"/>
      <c r="K672" s="137"/>
      <c r="L672" s="9"/>
    </row>
    <row r="673" spans="1:12" ht="12" customHeight="1" x14ac:dyDescent="0.2">
      <c r="A673" s="136"/>
      <c r="H673" s="137"/>
      <c r="I673" s="137"/>
      <c r="K673" s="137"/>
      <c r="L673" s="9"/>
    </row>
    <row r="674" spans="1:12" ht="12" customHeight="1" x14ac:dyDescent="0.2">
      <c r="A674" s="136"/>
      <c r="H674" s="137"/>
      <c r="I674" s="137"/>
      <c r="K674" s="137"/>
      <c r="L674" s="9"/>
    </row>
    <row r="675" spans="1:12" ht="12" customHeight="1" x14ac:dyDescent="0.2">
      <c r="A675" s="136"/>
      <c r="H675" s="137"/>
      <c r="I675" s="137"/>
      <c r="K675" s="137"/>
      <c r="L675" s="9"/>
    </row>
    <row r="676" spans="1:12" ht="12" customHeight="1" x14ac:dyDescent="0.2">
      <c r="A676" s="136"/>
      <c r="H676" s="137"/>
      <c r="I676" s="137"/>
      <c r="K676" s="137"/>
      <c r="L676" s="9"/>
    </row>
    <row r="677" spans="1:12" ht="12" customHeight="1" x14ac:dyDescent="0.2">
      <c r="A677" s="136"/>
      <c r="H677" s="137"/>
      <c r="I677" s="137"/>
      <c r="K677" s="137"/>
      <c r="L677" s="9"/>
    </row>
    <row r="678" spans="1:12" ht="12" customHeight="1" x14ac:dyDescent="0.2">
      <c r="A678" s="136"/>
      <c r="H678" s="137"/>
      <c r="I678" s="137"/>
      <c r="K678" s="137"/>
      <c r="L678" s="9"/>
    </row>
    <row r="679" spans="1:12" ht="12" customHeight="1" x14ac:dyDescent="0.2">
      <c r="A679" s="136"/>
      <c r="H679" s="137"/>
      <c r="I679" s="137"/>
      <c r="K679" s="137"/>
      <c r="L679" s="9"/>
    </row>
    <row r="680" spans="1:12" ht="12" customHeight="1" x14ac:dyDescent="0.2">
      <c r="A680" s="136"/>
      <c r="H680" s="137"/>
      <c r="I680" s="137"/>
      <c r="K680" s="137"/>
      <c r="L680" s="9"/>
    </row>
    <row r="681" spans="1:12" ht="12" customHeight="1" x14ac:dyDescent="0.2">
      <c r="A681" s="136"/>
      <c r="H681" s="137"/>
      <c r="I681" s="137"/>
      <c r="K681" s="137"/>
      <c r="L681" s="9"/>
    </row>
    <row r="682" spans="1:12" ht="12" customHeight="1" x14ac:dyDescent="0.2">
      <c r="A682" s="136"/>
      <c r="H682" s="137"/>
      <c r="I682" s="137"/>
      <c r="K682" s="137"/>
      <c r="L682" s="9"/>
    </row>
    <row r="683" spans="1:12" ht="12" customHeight="1" x14ac:dyDescent="0.2">
      <c r="A683" s="136"/>
      <c r="H683" s="137"/>
      <c r="I683" s="137"/>
      <c r="K683" s="137"/>
      <c r="L683" s="9"/>
    </row>
    <row r="684" spans="1:12" ht="12" customHeight="1" x14ac:dyDescent="0.2">
      <c r="A684" s="136"/>
      <c r="H684" s="137"/>
      <c r="I684" s="137"/>
      <c r="K684" s="137"/>
      <c r="L684" s="9"/>
    </row>
    <row r="685" spans="1:12" ht="12" customHeight="1" x14ac:dyDescent="0.2">
      <c r="A685" s="136"/>
      <c r="H685" s="137"/>
      <c r="I685" s="137"/>
      <c r="K685" s="137"/>
      <c r="L685" s="9"/>
    </row>
    <row r="686" spans="1:12" ht="12" customHeight="1" x14ac:dyDescent="0.2">
      <c r="A686" s="136"/>
      <c r="H686" s="137"/>
      <c r="I686" s="137"/>
      <c r="K686" s="137"/>
      <c r="L686" s="9"/>
    </row>
    <row r="687" spans="1:12" ht="12" customHeight="1" x14ac:dyDescent="0.2">
      <c r="A687" s="136"/>
      <c r="H687" s="137"/>
      <c r="I687" s="137"/>
      <c r="K687" s="137"/>
      <c r="L687" s="9"/>
    </row>
    <row r="688" spans="1:12" ht="12" customHeight="1" x14ac:dyDescent="0.2">
      <c r="A688" s="136"/>
      <c r="H688" s="137"/>
      <c r="I688" s="137"/>
      <c r="K688" s="137"/>
      <c r="L688" s="9"/>
    </row>
    <row r="689" spans="1:12" ht="12" customHeight="1" x14ac:dyDescent="0.2">
      <c r="A689" s="136"/>
      <c r="H689" s="137"/>
      <c r="I689" s="137"/>
      <c r="K689" s="137"/>
      <c r="L689" s="9"/>
    </row>
    <row r="690" spans="1:12" ht="12" customHeight="1" x14ac:dyDescent="0.2">
      <c r="A690" s="136"/>
      <c r="H690" s="137"/>
      <c r="I690" s="137"/>
      <c r="K690" s="137"/>
      <c r="L690" s="9"/>
    </row>
    <row r="691" spans="1:12" ht="12" customHeight="1" x14ac:dyDescent="0.2">
      <c r="A691" s="136"/>
      <c r="H691" s="137"/>
      <c r="I691" s="137"/>
      <c r="K691" s="137"/>
      <c r="L691" s="9"/>
    </row>
    <row r="692" spans="1:12" ht="12" customHeight="1" x14ac:dyDescent="0.2">
      <c r="A692" s="136"/>
      <c r="H692" s="137"/>
      <c r="I692" s="137"/>
      <c r="K692" s="137"/>
      <c r="L692" s="9"/>
    </row>
    <row r="693" spans="1:12" ht="12" customHeight="1" x14ac:dyDescent="0.2">
      <c r="A693" s="136"/>
      <c r="H693" s="137"/>
      <c r="I693" s="137"/>
      <c r="K693" s="137"/>
      <c r="L693" s="9"/>
    </row>
    <row r="694" spans="1:12" ht="12" customHeight="1" x14ac:dyDescent="0.2">
      <c r="A694" s="136"/>
      <c r="H694" s="137"/>
      <c r="I694" s="137"/>
      <c r="K694" s="137"/>
      <c r="L694" s="9"/>
    </row>
    <row r="695" spans="1:12" ht="12" customHeight="1" x14ac:dyDescent="0.2">
      <c r="A695" s="136"/>
      <c r="H695" s="137"/>
      <c r="I695" s="137"/>
      <c r="K695" s="137"/>
      <c r="L695" s="9"/>
    </row>
    <row r="696" spans="1:12" ht="12" customHeight="1" x14ac:dyDescent="0.2">
      <c r="A696" s="136"/>
      <c r="H696" s="137"/>
      <c r="I696" s="137"/>
      <c r="K696" s="137"/>
      <c r="L696" s="9"/>
    </row>
    <row r="697" spans="1:12" ht="12" customHeight="1" x14ac:dyDescent="0.2">
      <c r="A697" s="136"/>
      <c r="H697" s="137"/>
      <c r="I697" s="137"/>
      <c r="K697" s="137"/>
      <c r="L697" s="9"/>
    </row>
    <row r="698" spans="1:12" ht="12" customHeight="1" x14ac:dyDescent="0.2">
      <c r="A698" s="136"/>
      <c r="H698" s="137"/>
      <c r="I698" s="137"/>
      <c r="K698" s="137"/>
      <c r="L698" s="9"/>
    </row>
    <row r="699" spans="1:12" ht="12" customHeight="1" x14ac:dyDescent="0.2">
      <c r="A699" s="136"/>
      <c r="H699" s="137"/>
      <c r="I699" s="137"/>
      <c r="K699" s="137"/>
      <c r="L699" s="9"/>
    </row>
    <row r="700" spans="1:12" ht="12" customHeight="1" x14ac:dyDescent="0.2">
      <c r="A700" s="136"/>
      <c r="H700" s="137"/>
      <c r="I700" s="137"/>
      <c r="K700" s="137"/>
      <c r="L700" s="9"/>
    </row>
    <row r="701" spans="1:12" ht="12" customHeight="1" x14ac:dyDescent="0.2">
      <c r="A701" s="136"/>
      <c r="H701" s="137"/>
      <c r="I701" s="137"/>
      <c r="K701" s="137"/>
      <c r="L701" s="9"/>
    </row>
    <row r="702" spans="1:12" ht="12" customHeight="1" x14ac:dyDescent="0.2">
      <c r="A702" s="136"/>
      <c r="H702" s="137"/>
      <c r="I702" s="137"/>
      <c r="K702" s="137"/>
      <c r="L702" s="9"/>
    </row>
    <row r="703" spans="1:12" ht="12" customHeight="1" x14ac:dyDescent="0.2">
      <c r="A703" s="136"/>
      <c r="H703" s="137"/>
      <c r="I703" s="137"/>
      <c r="K703" s="137"/>
      <c r="L703" s="9"/>
    </row>
    <row r="704" spans="1:12" ht="12" customHeight="1" x14ac:dyDescent="0.2">
      <c r="A704" s="136"/>
      <c r="H704" s="137"/>
      <c r="I704" s="137"/>
      <c r="K704" s="137"/>
      <c r="L704" s="9"/>
    </row>
    <row r="705" spans="1:12" ht="12" customHeight="1" x14ac:dyDescent="0.2">
      <c r="A705" s="136"/>
      <c r="H705" s="137"/>
      <c r="I705" s="137"/>
      <c r="K705" s="137"/>
      <c r="L705" s="9"/>
    </row>
    <row r="706" spans="1:12" ht="12" customHeight="1" x14ac:dyDescent="0.2">
      <c r="A706" s="136"/>
      <c r="H706" s="137"/>
      <c r="I706" s="137"/>
      <c r="K706" s="137"/>
      <c r="L706" s="9"/>
    </row>
    <row r="707" spans="1:12" ht="12" customHeight="1" x14ac:dyDescent="0.2">
      <c r="A707" s="136"/>
      <c r="H707" s="137"/>
      <c r="I707" s="137"/>
      <c r="K707" s="137"/>
      <c r="L707" s="9"/>
    </row>
    <row r="708" spans="1:12" ht="12" customHeight="1" x14ac:dyDescent="0.2">
      <c r="A708" s="136"/>
      <c r="H708" s="137"/>
      <c r="I708" s="137"/>
      <c r="K708" s="137"/>
      <c r="L708" s="9"/>
    </row>
    <row r="709" spans="1:12" ht="12" customHeight="1" x14ac:dyDescent="0.2">
      <c r="A709" s="136"/>
      <c r="H709" s="137"/>
      <c r="I709" s="137"/>
      <c r="K709" s="137"/>
      <c r="L709" s="9"/>
    </row>
    <row r="710" spans="1:12" ht="12" customHeight="1" x14ac:dyDescent="0.2">
      <c r="A710" s="136"/>
      <c r="H710" s="137"/>
      <c r="I710" s="137"/>
      <c r="K710" s="137"/>
      <c r="L710" s="9"/>
    </row>
    <row r="711" spans="1:12" ht="12" customHeight="1" x14ac:dyDescent="0.2">
      <c r="A711" s="136"/>
      <c r="H711" s="137"/>
      <c r="I711" s="137"/>
      <c r="K711" s="137"/>
      <c r="L711" s="9"/>
    </row>
    <row r="712" spans="1:12" ht="12" customHeight="1" x14ac:dyDescent="0.2">
      <c r="A712" s="136"/>
      <c r="H712" s="137"/>
      <c r="I712" s="137"/>
      <c r="K712" s="137"/>
      <c r="L712" s="9"/>
    </row>
    <row r="713" spans="1:12" ht="12" customHeight="1" x14ac:dyDescent="0.2">
      <c r="A713" s="136"/>
      <c r="H713" s="137"/>
      <c r="I713" s="137"/>
      <c r="K713" s="137"/>
      <c r="L713" s="9"/>
    </row>
    <row r="714" spans="1:12" ht="12" customHeight="1" x14ac:dyDescent="0.2">
      <c r="A714" s="136"/>
      <c r="H714" s="137"/>
      <c r="I714" s="137"/>
      <c r="K714" s="137"/>
      <c r="L714" s="9"/>
    </row>
    <row r="715" spans="1:12" ht="12" customHeight="1" x14ac:dyDescent="0.2">
      <c r="A715" s="136"/>
      <c r="H715" s="137"/>
      <c r="I715" s="137"/>
      <c r="K715" s="137"/>
      <c r="L715" s="9"/>
    </row>
    <row r="716" spans="1:12" ht="12" customHeight="1" x14ac:dyDescent="0.2">
      <c r="A716" s="136"/>
      <c r="H716" s="137"/>
      <c r="I716" s="137"/>
      <c r="K716" s="137"/>
      <c r="L716" s="9"/>
    </row>
    <row r="717" spans="1:12" ht="12" customHeight="1" x14ac:dyDescent="0.2">
      <c r="A717" s="136"/>
      <c r="H717" s="137"/>
      <c r="I717" s="137"/>
      <c r="K717" s="137"/>
      <c r="L717" s="9"/>
    </row>
    <row r="718" spans="1:12" ht="12" customHeight="1" x14ac:dyDescent="0.2">
      <c r="A718" s="136"/>
      <c r="H718" s="137"/>
      <c r="I718" s="137"/>
      <c r="K718" s="137"/>
      <c r="L718" s="9"/>
    </row>
    <row r="719" spans="1:12" ht="12" customHeight="1" x14ac:dyDescent="0.2">
      <c r="A719" s="136"/>
      <c r="H719" s="137"/>
      <c r="I719" s="137"/>
      <c r="K719" s="137"/>
      <c r="L719" s="9"/>
    </row>
    <row r="720" spans="1:12" ht="12" customHeight="1" x14ac:dyDescent="0.2">
      <c r="A720" s="136"/>
      <c r="H720" s="137"/>
      <c r="I720" s="137"/>
      <c r="K720" s="137"/>
      <c r="L720" s="9"/>
    </row>
    <row r="721" spans="1:12" ht="12" customHeight="1" x14ac:dyDescent="0.2">
      <c r="A721" s="136"/>
      <c r="H721" s="137"/>
      <c r="I721" s="137"/>
      <c r="K721" s="137"/>
      <c r="L721" s="9"/>
    </row>
    <row r="722" spans="1:12" ht="12" customHeight="1" x14ac:dyDescent="0.2">
      <c r="A722" s="136"/>
      <c r="H722" s="137"/>
      <c r="I722" s="137"/>
      <c r="K722" s="137"/>
      <c r="L722" s="9"/>
    </row>
    <row r="723" spans="1:12" ht="12" customHeight="1" x14ac:dyDescent="0.2">
      <c r="A723" s="136"/>
      <c r="H723" s="137"/>
      <c r="I723" s="137"/>
      <c r="K723" s="137"/>
      <c r="L723" s="9"/>
    </row>
    <row r="724" spans="1:12" ht="12" customHeight="1" x14ac:dyDescent="0.2">
      <c r="A724" s="136"/>
      <c r="H724" s="137"/>
      <c r="I724" s="137"/>
      <c r="K724" s="137"/>
      <c r="L724" s="9"/>
    </row>
    <row r="725" spans="1:12" ht="12" customHeight="1" x14ac:dyDescent="0.2">
      <c r="A725" s="136"/>
      <c r="H725" s="137"/>
      <c r="I725" s="137"/>
      <c r="K725" s="137"/>
      <c r="L725" s="9"/>
    </row>
    <row r="726" spans="1:12" ht="12" customHeight="1" x14ac:dyDescent="0.2">
      <c r="A726" s="136"/>
      <c r="H726" s="137"/>
      <c r="I726" s="137"/>
      <c r="K726" s="137"/>
      <c r="L726" s="9"/>
    </row>
    <row r="727" spans="1:12" ht="12" customHeight="1" x14ac:dyDescent="0.2">
      <c r="A727" s="136"/>
      <c r="H727" s="137"/>
      <c r="I727" s="137"/>
      <c r="K727" s="137"/>
      <c r="L727" s="9"/>
    </row>
    <row r="728" spans="1:12" ht="12" customHeight="1" x14ac:dyDescent="0.2">
      <c r="A728" s="136"/>
      <c r="H728" s="137"/>
      <c r="I728" s="137"/>
      <c r="K728" s="137"/>
      <c r="L728" s="9"/>
    </row>
    <row r="729" spans="1:12" ht="12" customHeight="1" x14ac:dyDescent="0.2">
      <c r="A729" s="136"/>
      <c r="H729" s="137"/>
      <c r="I729" s="137"/>
      <c r="K729" s="137"/>
      <c r="L729" s="9"/>
    </row>
    <row r="730" spans="1:12" ht="12" customHeight="1" x14ac:dyDescent="0.2">
      <c r="A730" s="136"/>
      <c r="H730" s="137"/>
      <c r="I730" s="137"/>
      <c r="K730" s="137"/>
      <c r="L730" s="9"/>
    </row>
    <row r="731" spans="1:12" ht="12" customHeight="1" x14ac:dyDescent="0.2">
      <c r="A731" s="136"/>
      <c r="H731" s="137"/>
      <c r="I731" s="137"/>
      <c r="K731" s="137"/>
      <c r="L731" s="9"/>
    </row>
    <row r="732" spans="1:12" ht="12" customHeight="1" x14ac:dyDescent="0.2">
      <c r="A732" s="136"/>
      <c r="H732" s="137"/>
      <c r="I732" s="137"/>
      <c r="K732" s="137"/>
      <c r="L732" s="9"/>
    </row>
    <row r="733" spans="1:12" ht="12" customHeight="1" x14ac:dyDescent="0.2">
      <c r="A733" s="136"/>
      <c r="H733" s="137"/>
      <c r="I733" s="137"/>
      <c r="K733" s="137"/>
      <c r="L733" s="9"/>
    </row>
    <row r="734" spans="1:12" ht="12" customHeight="1" x14ac:dyDescent="0.2">
      <c r="A734" s="136"/>
      <c r="H734" s="137"/>
      <c r="I734" s="137"/>
      <c r="K734" s="137"/>
      <c r="L734" s="9"/>
    </row>
    <row r="735" spans="1:12" ht="12" customHeight="1" x14ac:dyDescent="0.2">
      <c r="A735" s="136"/>
      <c r="H735" s="137"/>
      <c r="I735" s="137"/>
      <c r="K735" s="137"/>
      <c r="L735" s="9"/>
    </row>
    <row r="736" spans="1:12" ht="12" customHeight="1" x14ac:dyDescent="0.2">
      <c r="A736" s="136"/>
      <c r="H736" s="137"/>
      <c r="I736" s="137"/>
      <c r="K736" s="137"/>
      <c r="L736" s="9"/>
    </row>
    <row r="737" spans="1:12" ht="12" customHeight="1" x14ac:dyDescent="0.2">
      <c r="A737" s="136"/>
      <c r="H737" s="137"/>
      <c r="I737" s="137"/>
      <c r="K737" s="137"/>
      <c r="L737" s="9"/>
    </row>
    <row r="738" spans="1:12" ht="12" customHeight="1" x14ac:dyDescent="0.2">
      <c r="A738" s="136"/>
      <c r="H738" s="137"/>
      <c r="I738" s="137"/>
      <c r="K738" s="137"/>
      <c r="L738" s="9"/>
    </row>
    <row r="739" spans="1:12" ht="12" customHeight="1" x14ac:dyDescent="0.2">
      <c r="A739" s="136"/>
      <c r="H739" s="137"/>
      <c r="I739" s="137"/>
      <c r="K739" s="137"/>
      <c r="L739" s="9"/>
    </row>
    <row r="740" spans="1:12" ht="12" customHeight="1" x14ac:dyDescent="0.2">
      <c r="A740" s="136"/>
      <c r="H740" s="137"/>
      <c r="I740" s="137"/>
      <c r="K740" s="137"/>
      <c r="L740" s="9"/>
    </row>
    <row r="741" spans="1:12" ht="12" customHeight="1" x14ac:dyDescent="0.2">
      <c r="A741" s="136"/>
      <c r="H741" s="137"/>
      <c r="I741" s="137"/>
      <c r="K741" s="137"/>
      <c r="L741" s="9"/>
    </row>
    <row r="742" spans="1:12" ht="12" customHeight="1" x14ac:dyDescent="0.2">
      <c r="A742" s="136"/>
      <c r="H742" s="137"/>
      <c r="I742" s="137"/>
      <c r="K742" s="137"/>
      <c r="L742" s="9"/>
    </row>
    <row r="743" spans="1:12" ht="12" customHeight="1" x14ac:dyDescent="0.2">
      <c r="A743" s="136"/>
      <c r="H743" s="137"/>
      <c r="I743" s="137"/>
      <c r="K743" s="137"/>
      <c r="L743" s="9"/>
    </row>
    <row r="744" spans="1:12" ht="12" customHeight="1" x14ac:dyDescent="0.2">
      <c r="A744" s="136"/>
      <c r="H744" s="137"/>
      <c r="I744" s="137"/>
      <c r="K744" s="137"/>
      <c r="L744" s="9"/>
    </row>
    <row r="745" spans="1:12" ht="12" customHeight="1" x14ac:dyDescent="0.2">
      <c r="A745" s="136"/>
      <c r="H745" s="137"/>
      <c r="I745" s="137"/>
      <c r="K745" s="137"/>
      <c r="L745" s="9"/>
    </row>
    <row r="746" spans="1:12" ht="12" customHeight="1" x14ac:dyDescent="0.2">
      <c r="A746" s="136"/>
      <c r="H746" s="137"/>
      <c r="I746" s="137"/>
      <c r="K746" s="137"/>
      <c r="L746" s="9"/>
    </row>
    <row r="747" spans="1:12" ht="12" customHeight="1" x14ac:dyDescent="0.2">
      <c r="A747" s="136"/>
      <c r="H747" s="137"/>
      <c r="I747" s="137"/>
      <c r="K747" s="137"/>
      <c r="L747" s="9"/>
    </row>
    <row r="748" spans="1:12" ht="12" customHeight="1" x14ac:dyDescent="0.2">
      <c r="A748" s="136"/>
      <c r="H748" s="137"/>
      <c r="I748" s="137"/>
      <c r="K748" s="137"/>
      <c r="L748" s="9"/>
    </row>
    <row r="749" spans="1:12" ht="12" customHeight="1" x14ac:dyDescent="0.2">
      <c r="A749" s="136"/>
      <c r="H749" s="137"/>
      <c r="I749" s="137"/>
      <c r="K749" s="137"/>
      <c r="L749" s="9"/>
    </row>
    <row r="750" spans="1:12" ht="12" customHeight="1" x14ac:dyDescent="0.2">
      <c r="A750" s="136"/>
      <c r="H750" s="137"/>
      <c r="I750" s="137"/>
      <c r="K750" s="137"/>
      <c r="L750" s="9"/>
    </row>
    <row r="751" spans="1:12" ht="12" customHeight="1" x14ac:dyDescent="0.2">
      <c r="A751" s="136"/>
      <c r="H751" s="137"/>
      <c r="I751" s="137"/>
      <c r="K751" s="137"/>
      <c r="L751" s="9"/>
    </row>
    <row r="752" spans="1:12" ht="12" customHeight="1" x14ac:dyDescent="0.2">
      <c r="A752" s="136"/>
      <c r="H752" s="137"/>
      <c r="I752" s="137"/>
      <c r="K752" s="137"/>
      <c r="L752" s="9"/>
    </row>
    <row r="753" spans="1:12" ht="12" customHeight="1" x14ac:dyDescent="0.2">
      <c r="A753" s="136"/>
      <c r="H753" s="137"/>
      <c r="I753" s="137"/>
      <c r="K753" s="137"/>
      <c r="L753" s="9"/>
    </row>
    <row r="754" spans="1:12" ht="12" customHeight="1" x14ac:dyDescent="0.2">
      <c r="A754" s="136"/>
      <c r="H754" s="137"/>
      <c r="I754" s="137"/>
      <c r="K754" s="137"/>
      <c r="L754" s="9"/>
    </row>
    <row r="755" spans="1:12" ht="12" customHeight="1" x14ac:dyDescent="0.2">
      <c r="A755" s="136"/>
      <c r="H755" s="137"/>
      <c r="I755" s="137"/>
      <c r="K755" s="137"/>
      <c r="L755" s="9"/>
    </row>
    <row r="756" spans="1:12" ht="12" customHeight="1" x14ac:dyDescent="0.2">
      <c r="A756" s="136"/>
      <c r="H756" s="137"/>
      <c r="I756" s="137"/>
      <c r="K756" s="137"/>
      <c r="L756" s="9"/>
    </row>
    <row r="757" spans="1:12" ht="12" customHeight="1" x14ac:dyDescent="0.2">
      <c r="A757" s="136"/>
      <c r="H757" s="137"/>
      <c r="I757" s="137"/>
      <c r="K757" s="137"/>
      <c r="L757" s="9"/>
    </row>
    <row r="758" spans="1:12" ht="12" customHeight="1" x14ac:dyDescent="0.2">
      <c r="A758" s="136"/>
      <c r="H758" s="137"/>
      <c r="I758" s="137"/>
      <c r="K758" s="137"/>
      <c r="L758" s="9"/>
    </row>
    <row r="759" spans="1:12" ht="12" customHeight="1" x14ac:dyDescent="0.2">
      <c r="A759" s="136"/>
      <c r="H759" s="137"/>
      <c r="I759" s="137"/>
      <c r="K759" s="137"/>
      <c r="L759" s="9"/>
    </row>
    <row r="760" spans="1:12" ht="12" customHeight="1" x14ac:dyDescent="0.2">
      <c r="A760" s="136"/>
      <c r="H760" s="137"/>
      <c r="I760" s="137"/>
      <c r="K760" s="137"/>
      <c r="L760" s="9"/>
    </row>
    <row r="761" spans="1:12" ht="12" customHeight="1" x14ac:dyDescent="0.2">
      <c r="A761" s="136"/>
      <c r="H761" s="137"/>
      <c r="I761" s="137"/>
      <c r="K761" s="137"/>
      <c r="L761" s="9"/>
    </row>
    <row r="762" spans="1:12" ht="12" customHeight="1" x14ac:dyDescent="0.2">
      <c r="A762" s="136"/>
      <c r="H762" s="137"/>
      <c r="I762" s="137"/>
      <c r="K762" s="137"/>
      <c r="L762" s="9"/>
    </row>
    <row r="763" spans="1:12" ht="12" customHeight="1" x14ac:dyDescent="0.2">
      <c r="A763" s="136"/>
      <c r="H763" s="137"/>
      <c r="I763" s="137"/>
      <c r="K763" s="137"/>
      <c r="L763" s="9"/>
    </row>
    <row r="764" spans="1:12" ht="12" customHeight="1" x14ac:dyDescent="0.2">
      <c r="A764" s="136"/>
      <c r="H764" s="137"/>
      <c r="I764" s="137"/>
      <c r="K764" s="137"/>
      <c r="L764" s="9"/>
    </row>
    <row r="765" spans="1:12" ht="12" customHeight="1" x14ac:dyDescent="0.2">
      <c r="A765" s="136"/>
      <c r="H765" s="137"/>
      <c r="I765" s="137"/>
      <c r="K765" s="137"/>
      <c r="L765" s="9"/>
    </row>
    <row r="766" spans="1:12" ht="12" customHeight="1" x14ac:dyDescent="0.2">
      <c r="A766" s="136"/>
      <c r="H766" s="137"/>
      <c r="I766" s="137"/>
      <c r="K766" s="137"/>
      <c r="L766" s="9"/>
    </row>
    <row r="767" spans="1:12" ht="12" customHeight="1" x14ac:dyDescent="0.2">
      <c r="A767" s="136"/>
      <c r="H767" s="137"/>
      <c r="I767" s="137"/>
      <c r="K767" s="137"/>
      <c r="L767" s="9"/>
    </row>
    <row r="768" spans="1:12" ht="12" customHeight="1" x14ac:dyDescent="0.2">
      <c r="A768" s="136"/>
      <c r="H768" s="137"/>
      <c r="I768" s="137"/>
      <c r="K768" s="137"/>
      <c r="L768" s="9"/>
    </row>
    <row r="769" spans="1:12" ht="12" customHeight="1" x14ac:dyDescent="0.2">
      <c r="A769" s="136"/>
      <c r="H769" s="137"/>
      <c r="I769" s="137"/>
      <c r="K769" s="137"/>
      <c r="L769" s="9"/>
    </row>
    <row r="770" spans="1:12" ht="12" customHeight="1" x14ac:dyDescent="0.2">
      <c r="A770" s="136"/>
      <c r="H770" s="137"/>
      <c r="I770" s="137"/>
      <c r="K770" s="137"/>
      <c r="L770" s="9"/>
    </row>
    <row r="771" spans="1:12" ht="12" customHeight="1" x14ac:dyDescent="0.2">
      <c r="A771" s="136"/>
      <c r="H771" s="137"/>
      <c r="I771" s="137"/>
      <c r="K771" s="137"/>
      <c r="L771" s="9"/>
    </row>
    <row r="772" spans="1:12" ht="12" customHeight="1" x14ac:dyDescent="0.2">
      <c r="A772" s="136"/>
      <c r="H772" s="137"/>
      <c r="I772" s="137"/>
      <c r="K772" s="137"/>
      <c r="L772" s="9"/>
    </row>
    <row r="773" spans="1:12" ht="12" customHeight="1" x14ac:dyDescent="0.2">
      <c r="A773" s="136"/>
      <c r="H773" s="137"/>
      <c r="I773" s="137"/>
      <c r="K773" s="137"/>
      <c r="L773" s="9"/>
    </row>
    <row r="774" spans="1:12" ht="12" customHeight="1" x14ac:dyDescent="0.2">
      <c r="A774" s="136"/>
      <c r="H774" s="137"/>
      <c r="I774" s="137"/>
      <c r="K774" s="137"/>
      <c r="L774" s="9"/>
    </row>
    <row r="775" spans="1:12" ht="12" customHeight="1" x14ac:dyDescent="0.2">
      <c r="A775" s="136"/>
      <c r="H775" s="137"/>
      <c r="I775" s="137"/>
      <c r="K775" s="137"/>
      <c r="L775" s="9"/>
    </row>
    <row r="776" spans="1:12" ht="12" customHeight="1" x14ac:dyDescent="0.2">
      <c r="A776" s="136"/>
      <c r="H776" s="137"/>
      <c r="I776" s="137"/>
      <c r="K776" s="137"/>
      <c r="L776" s="9"/>
    </row>
    <row r="777" spans="1:12" ht="12" customHeight="1" x14ac:dyDescent="0.2">
      <c r="A777" s="136"/>
      <c r="H777" s="137"/>
      <c r="I777" s="137"/>
      <c r="K777" s="137"/>
      <c r="L777" s="9"/>
    </row>
    <row r="778" spans="1:12" ht="12" customHeight="1" x14ac:dyDescent="0.2">
      <c r="A778" s="136"/>
      <c r="H778" s="137"/>
      <c r="I778" s="137"/>
      <c r="K778" s="137"/>
      <c r="L778" s="9"/>
    </row>
    <row r="779" spans="1:12" ht="12" customHeight="1" x14ac:dyDescent="0.2">
      <c r="A779" s="136"/>
      <c r="H779" s="137"/>
      <c r="I779" s="137"/>
      <c r="K779" s="137"/>
      <c r="L779" s="9"/>
    </row>
    <row r="780" spans="1:12" ht="12" customHeight="1" x14ac:dyDescent="0.2">
      <c r="A780" s="136"/>
      <c r="H780" s="137"/>
      <c r="I780" s="137"/>
      <c r="K780" s="137"/>
      <c r="L780" s="9"/>
    </row>
    <row r="781" spans="1:12" ht="12" customHeight="1" x14ac:dyDescent="0.2">
      <c r="A781" s="136"/>
      <c r="H781" s="137"/>
      <c r="I781" s="137"/>
      <c r="K781" s="137"/>
      <c r="L781" s="9"/>
    </row>
    <row r="782" spans="1:12" ht="12" customHeight="1" x14ac:dyDescent="0.2">
      <c r="A782" s="136"/>
      <c r="H782" s="137"/>
      <c r="I782" s="137"/>
      <c r="K782" s="137"/>
      <c r="L782" s="9"/>
    </row>
    <row r="783" spans="1:12" ht="12" customHeight="1" x14ac:dyDescent="0.2">
      <c r="A783" s="136"/>
      <c r="H783" s="137"/>
      <c r="I783" s="137"/>
      <c r="K783" s="137"/>
      <c r="L783" s="9"/>
    </row>
    <row r="784" spans="1:12" ht="12" customHeight="1" x14ac:dyDescent="0.2">
      <c r="A784" s="136"/>
      <c r="H784" s="137"/>
      <c r="I784" s="137"/>
      <c r="K784" s="137"/>
      <c r="L784" s="9"/>
    </row>
    <row r="785" spans="1:12" ht="12" customHeight="1" x14ac:dyDescent="0.2">
      <c r="A785" s="136"/>
      <c r="H785" s="137"/>
      <c r="I785" s="137"/>
      <c r="K785" s="137"/>
      <c r="L785" s="9"/>
    </row>
    <row r="786" spans="1:12" ht="12" customHeight="1" x14ac:dyDescent="0.2">
      <c r="A786" s="136"/>
      <c r="H786" s="137"/>
      <c r="I786" s="137"/>
      <c r="K786" s="137"/>
      <c r="L786" s="9"/>
    </row>
    <row r="787" spans="1:12" ht="12" customHeight="1" x14ac:dyDescent="0.2">
      <c r="A787" s="136"/>
      <c r="H787" s="137"/>
      <c r="I787" s="137"/>
      <c r="K787" s="137"/>
      <c r="L787" s="9"/>
    </row>
    <row r="788" spans="1:12" ht="12" customHeight="1" x14ac:dyDescent="0.2">
      <c r="A788" s="136"/>
      <c r="H788" s="137"/>
      <c r="I788" s="137"/>
      <c r="K788" s="137"/>
      <c r="L788" s="9"/>
    </row>
    <row r="789" spans="1:12" ht="12" customHeight="1" x14ac:dyDescent="0.2">
      <c r="A789" s="136"/>
      <c r="H789" s="137"/>
      <c r="I789" s="137"/>
      <c r="K789" s="137"/>
      <c r="L789" s="9"/>
    </row>
    <row r="790" spans="1:12" ht="12" customHeight="1" x14ac:dyDescent="0.2">
      <c r="A790" s="136"/>
      <c r="H790" s="137"/>
      <c r="I790" s="137"/>
      <c r="K790" s="137"/>
      <c r="L790" s="9"/>
    </row>
    <row r="791" spans="1:12" ht="12" customHeight="1" x14ac:dyDescent="0.2">
      <c r="A791" s="136"/>
      <c r="H791" s="137"/>
      <c r="I791" s="137"/>
      <c r="K791" s="137"/>
      <c r="L791" s="9"/>
    </row>
    <row r="792" spans="1:12" ht="12" customHeight="1" x14ac:dyDescent="0.2">
      <c r="A792" s="136"/>
      <c r="H792" s="137"/>
      <c r="I792" s="137"/>
      <c r="K792" s="137"/>
      <c r="L792" s="9"/>
    </row>
    <row r="793" spans="1:12" ht="12" customHeight="1" x14ac:dyDescent="0.2">
      <c r="A793" s="136"/>
      <c r="H793" s="137"/>
      <c r="I793" s="137"/>
      <c r="K793" s="137"/>
      <c r="L793" s="9"/>
    </row>
    <row r="794" spans="1:12" ht="12" customHeight="1" x14ac:dyDescent="0.2">
      <c r="A794" s="136"/>
      <c r="H794" s="137"/>
      <c r="I794" s="137"/>
      <c r="K794" s="137"/>
      <c r="L794" s="9"/>
    </row>
    <row r="795" spans="1:12" ht="12" customHeight="1" x14ac:dyDescent="0.2">
      <c r="A795" s="136"/>
      <c r="H795" s="137"/>
      <c r="I795" s="137"/>
      <c r="K795" s="137"/>
      <c r="L795" s="9"/>
    </row>
    <row r="796" spans="1:12" ht="12" customHeight="1" x14ac:dyDescent="0.2">
      <c r="A796" s="136"/>
      <c r="H796" s="137"/>
      <c r="I796" s="137"/>
      <c r="K796" s="137"/>
      <c r="L796" s="9"/>
    </row>
    <row r="797" spans="1:12" ht="12" customHeight="1" x14ac:dyDescent="0.2">
      <c r="A797" s="136"/>
      <c r="H797" s="137"/>
      <c r="I797" s="137"/>
      <c r="K797" s="137"/>
      <c r="L797" s="9"/>
    </row>
    <row r="798" spans="1:12" ht="12" customHeight="1" x14ac:dyDescent="0.2">
      <c r="A798" s="136"/>
      <c r="H798" s="137"/>
      <c r="I798" s="137"/>
      <c r="K798" s="137"/>
      <c r="L798" s="9"/>
    </row>
    <row r="799" spans="1:12" ht="12" customHeight="1" x14ac:dyDescent="0.2">
      <c r="A799" s="136"/>
      <c r="H799" s="137"/>
      <c r="I799" s="137"/>
      <c r="K799" s="137"/>
      <c r="L799" s="9"/>
    </row>
    <row r="800" spans="1:12" ht="12" customHeight="1" x14ac:dyDescent="0.2">
      <c r="A800" s="136"/>
      <c r="H800" s="137"/>
      <c r="I800" s="137"/>
      <c r="K800" s="137"/>
      <c r="L800" s="9"/>
    </row>
    <row r="801" spans="1:12" ht="12" customHeight="1" x14ac:dyDescent="0.2">
      <c r="A801" s="136"/>
      <c r="H801" s="137"/>
      <c r="I801" s="137"/>
      <c r="K801" s="137"/>
      <c r="L801" s="9"/>
    </row>
    <row r="802" spans="1:12" ht="12" customHeight="1" x14ac:dyDescent="0.2">
      <c r="A802" s="136"/>
      <c r="H802" s="137"/>
      <c r="I802" s="137"/>
      <c r="K802" s="137"/>
      <c r="L802" s="9"/>
    </row>
    <row r="803" spans="1:12" ht="12" customHeight="1" x14ac:dyDescent="0.2">
      <c r="A803" s="136"/>
      <c r="H803" s="137"/>
      <c r="I803" s="137"/>
      <c r="K803" s="137"/>
      <c r="L803" s="9"/>
    </row>
    <row r="804" spans="1:12" ht="12" customHeight="1" x14ac:dyDescent="0.2">
      <c r="A804" s="136"/>
      <c r="H804" s="137"/>
      <c r="I804" s="137"/>
      <c r="K804" s="137"/>
      <c r="L804" s="9"/>
    </row>
    <row r="805" spans="1:12" ht="12" customHeight="1" x14ac:dyDescent="0.2">
      <c r="A805" s="136"/>
      <c r="H805" s="137"/>
      <c r="I805" s="137"/>
      <c r="K805" s="137"/>
      <c r="L805" s="9"/>
    </row>
    <row r="806" spans="1:12" ht="12" customHeight="1" x14ac:dyDescent="0.2">
      <c r="A806" s="136"/>
      <c r="H806" s="137"/>
      <c r="I806" s="137"/>
      <c r="K806" s="137"/>
      <c r="L806" s="9"/>
    </row>
    <row r="807" spans="1:12" ht="12" customHeight="1" x14ac:dyDescent="0.2">
      <c r="A807" s="136"/>
      <c r="H807" s="137"/>
      <c r="I807" s="137"/>
      <c r="K807" s="137"/>
      <c r="L807" s="9"/>
    </row>
    <row r="808" spans="1:12" ht="12" customHeight="1" x14ac:dyDescent="0.2">
      <c r="A808" s="136"/>
      <c r="H808" s="137"/>
      <c r="I808" s="137"/>
      <c r="K808" s="137"/>
      <c r="L808" s="9"/>
    </row>
    <row r="809" spans="1:12" ht="12" customHeight="1" x14ac:dyDescent="0.2">
      <c r="A809" s="136"/>
      <c r="H809" s="137"/>
      <c r="I809" s="137"/>
      <c r="K809" s="137"/>
      <c r="L809" s="9"/>
    </row>
    <row r="810" spans="1:12" ht="12" customHeight="1" x14ac:dyDescent="0.2">
      <c r="A810" s="136"/>
      <c r="H810" s="137"/>
      <c r="I810" s="137"/>
      <c r="K810" s="137"/>
      <c r="L810" s="9"/>
    </row>
    <row r="811" spans="1:12" ht="12" customHeight="1" x14ac:dyDescent="0.2">
      <c r="A811" s="136"/>
      <c r="H811" s="137"/>
      <c r="I811" s="137"/>
      <c r="K811" s="137"/>
      <c r="L811" s="9"/>
    </row>
    <row r="812" spans="1:12" ht="12" customHeight="1" x14ac:dyDescent="0.2">
      <c r="A812" s="136"/>
      <c r="H812" s="137"/>
      <c r="I812" s="137"/>
      <c r="K812" s="137"/>
      <c r="L812" s="9"/>
    </row>
    <row r="813" spans="1:12" ht="12" customHeight="1" x14ac:dyDescent="0.2">
      <c r="A813" s="136"/>
      <c r="H813" s="137"/>
      <c r="I813" s="137"/>
      <c r="K813" s="137"/>
      <c r="L813" s="9"/>
    </row>
    <row r="814" spans="1:12" ht="12" customHeight="1" x14ac:dyDescent="0.2">
      <c r="A814" s="136"/>
      <c r="H814" s="137"/>
      <c r="I814" s="137"/>
      <c r="K814" s="137"/>
      <c r="L814" s="9"/>
    </row>
    <row r="815" spans="1:12" ht="12" customHeight="1" x14ac:dyDescent="0.2">
      <c r="A815" s="136"/>
      <c r="H815" s="137"/>
      <c r="I815" s="137"/>
      <c r="K815" s="137"/>
      <c r="L815" s="9"/>
    </row>
    <row r="816" spans="1:12" ht="12" customHeight="1" x14ac:dyDescent="0.2">
      <c r="A816" s="136"/>
      <c r="H816" s="137"/>
      <c r="I816" s="137"/>
      <c r="K816" s="137"/>
      <c r="L816" s="9"/>
    </row>
    <row r="817" spans="1:12" ht="12" customHeight="1" x14ac:dyDescent="0.2">
      <c r="A817" s="136"/>
      <c r="H817" s="137"/>
      <c r="I817" s="137"/>
      <c r="K817" s="137"/>
      <c r="L817" s="9"/>
    </row>
    <row r="818" spans="1:12" ht="12" customHeight="1" x14ac:dyDescent="0.2">
      <c r="A818" s="136"/>
      <c r="H818" s="137"/>
      <c r="I818" s="137"/>
      <c r="K818" s="137"/>
      <c r="L818" s="9"/>
    </row>
    <row r="819" spans="1:12" ht="12" customHeight="1" x14ac:dyDescent="0.2">
      <c r="A819" s="136"/>
      <c r="H819" s="137"/>
      <c r="I819" s="137"/>
      <c r="K819" s="137"/>
      <c r="L819" s="9"/>
    </row>
    <row r="820" spans="1:12" ht="12" customHeight="1" x14ac:dyDescent="0.2">
      <c r="A820" s="136"/>
      <c r="H820" s="137"/>
      <c r="I820" s="137"/>
      <c r="K820" s="137"/>
      <c r="L820" s="9"/>
    </row>
    <row r="821" spans="1:12" ht="12" customHeight="1" x14ac:dyDescent="0.2">
      <c r="A821" s="136"/>
      <c r="H821" s="137"/>
      <c r="I821" s="137"/>
      <c r="K821" s="137"/>
      <c r="L821" s="9"/>
    </row>
    <row r="822" spans="1:12" ht="12" customHeight="1" x14ac:dyDescent="0.2">
      <c r="A822" s="136"/>
      <c r="H822" s="137"/>
      <c r="I822" s="137"/>
      <c r="K822" s="137"/>
      <c r="L822" s="9"/>
    </row>
    <row r="823" spans="1:12" ht="12" customHeight="1" x14ac:dyDescent="0.2">
      <c r="A823" s="136"/>
      <c r="H823" s="137"/>
      <c r="I823" s="137"/>
      <c r="K823" s="137"/>
      <c r="L823" s="9"/>
    </row>
    <row r="824" spans="1:12" ht="12" customHeight="1" x14ac:dyDescent="0.2">
      <c r="A824" s="136"/>
      <c r="H824" s="137"/>
      <c r="I824" s="137"/>
      <c r="K824" s="137"/>
      <c r="L824" s="9"/>
    </row>
    <row r="825" spans="1:12" ht="12" customHeight="1" x14ac:dyDescent="0.2">
      <c r="A825" s="136"/>
      <c r="H825" s="137"/>
      <c r="I825" s="137"/>
      <c r="K825" s="137"/>
      <c r="L825" s="9"/>
    </row>
    <row r="826" spans="1:12" ht="12" customHeight="1" x14ac:dyDescent="0.2">
      <c r="A826" s="136"/>
      <c r="H826" s="137"/>
      <c r="I826" s="137"/>
      <c r="K826" s="137"/>
      <c r="L826" s="9"/>
    </row>
    <row r="827" spans="1:12" ht="12" customHeight="1" x14ac:dyDescent="0.2">
      <c r="A827" s="136"/>
      <c r="H827" s="137"/>
      <c r="I827" s="137"/>
      <c r="K827" s="137"/>
      <c r="L827" s="9"/>
    </row>
    <row r="828" spans="1:12" ht="12" customHeight="1" x14ac:dyDescent="0.2">
      <c r="A828" s="136"/>
      <c r="H828" s="137"/>
      <c r="I828" s="137"/>
      <c r="K828" s="137"/>
      <c r="L828" s="9"/>
    </row>
    <row r="829" spans="1:12" ht="12" customHeight="1" x14ac:dyDescent="0.2">
      <c r="A829" s="136"/>
      <c r="H829" s="137"/>
      <c r="I829" s="137"/>
      <c r="K829" s="137"/>
      <c r="L829" s="9"/>
    </row>
    <row r="830" spans="1:12" ht="12" customHeight="1" x14ac:dyDescent="0.2">
      <c r="A830" s="136"/>
      <c r="H830" s="137"/>
      <c r="I830" s="137"/>
      <c r="K830" s="137"/>
      <c r="L830" s="9"/>
    </row>
    <row r="831" spans="1:12" ht="12" customHeight="1" x14ac:dyDescent="0.2">
      <c r="A831" s="136"/>
      <c r="H831" s="137"/>
      <c r="I831" s="137"/>
      <c r="K831" s="137"/>
      <c r="L831" s="9"/>
    </row>
    <row r="832" spans="1:12" ht="12" customHeight="1" x14ac:dyDescent="0.2">
      <c r="A832" s="136"/>
      <c r="H832" s="137"/>
      <c r="I832" s="137"/>
      <c r="K832" s="137"/>
      <c r="L832" s="9"/>
    </row>
    <row r="833" spans="1:12" ht="12" customHeight="1" x14ac:dyDescent="0.2">
      <c r="A833" s="136"/>
      <c r="H833" s="137"/>
      <c r="I833" s="137"/>
      <c r="K833" s="137"/>
      <c r="L833" s="9"/>
    </row>
    <row r="834" spans="1:12" ht="12" customHeight="1" x14ac:dyDescent="0.2">
      <c r="A834" s="136"/>
      <c r="H834" s="137"/>
      <c r="I834" s="137"/>
      <c r="K834" s="137"/>
      <c r="L834" s="9"/>
    </row>
    <row r="835" spans="1:12" ht="12" customHeight="1" x14ac:dyDescent="0.2">
      <c r="A835" s="136"/>
      <c r="H835" s="137"/>
      <c r="I835" s="137"/>
      <c r="K835" s="137"/>
      <c r="L835" s="9"/>
    </row>
    <row r="836" spans="1:12" ht="12" customHeight="1" x14ac:dyDescent="0.2">
      <c r="A836" s="136"/>
      <c r="H836" s="137"/>
      <c r="I836" s="137"/>
      <c r="K836" s="137"/>
      <c r="L836" s="9"/>
    </row>
    <row r="837" spans="1:12" ht="12" customHeight="1" x14ac:dyDescent="0.2">
      <c r="A837" s="136"/>
      <c r="H837" s="137"/>
      <c r="I837" s="137"/>
      <c r="K837" s="137"/>
      <c r="L837" s="9"/>
    </row>
    <row r="838" spans="1:12" ht="12" customHeight="1" x14ac:dyDescent="0.2">
      <c r="A838" s="136"/>
      <c r="H838" s="137"/>
      <c r="I838" s="137"/>
      <c r="K838" s="137"/>
      <c r="L838" s="9"/>
    </row>
    <row r="839" spans="1:12" ht="12" customHeight="1" x14ac:dyDescent="0.2">
      <c r="A839" s="136"/>
      <c r="H839" s="137"/>
      <c r="I839" s="137"/>
      <c r="K839" s="137"/>
      <c r="L839" s="9"/>
    </row>
    <row r="840" spans="1:12" ht="12" customHeight="1" x14ac:dyDescent="0.2">
      <c r="A840" s="136"/>
      <c r="H840" s="137"/>
      <c r="I840" s="137"/>
      <c r="K840" s="137"/>
      <c r="L840" s="9"/>
    </row>
    <row r="841" spans="1:12" ht="12" customHeight="1" x14ac:dyDescent="0.2">
      <c r="A841" s="136"/>
      <c r="H841" s="137"/>
      <c r="I841" s="137"/>
      <c r="K841" s="137"/>
      <c r="L841" s="9"/>
    </row>
    <row r="842" spans="1:12" ht="12" customHeight="1" x14ac:dyDescent="0.2">
      <c r="A842" s="136"/>
      <c r="H842" s="137"/>
      <c r="I842" s="137"/>
      <c r="K842" s="137"/>
      <c r="L842" s="9"/>
    </row>
    <row r="843" spans="1:12" ht="12" customHeight="1" x14ac:dyDescent="0.2">
      <c r="A843" s="136"/>
      <c r="H843" s="137"/>
      <c r="I843" s="137"/>
      <c r="K843" s="137"/>
      <c r="L843" s="9"/>
    </row>
    <row r="844" spans="1:12" ht="12" customHeight="1" x14ac:dyDescent="0.2">
      <c r="A844" s="136"/>
      <c r="H844" s="137"/>
      <c r="I844" s="137"/>
      <c r="K844" s="137"/>
      <c r="L844" s="9"/>
    </row>
    <row r="845" spans="1:12" ht="12" customHeight="1" x14ac:dyDescent="0.2">
      <c r="A845" s="136"/>
      <c r="H845" s="137"/>
      <c r="I845" s="137"/>
      <c r="K845" s="137"/>
      <c r="L845" s="9"/>
    </row>
    <row r="846" spans="1:12" ht="12" customHeight="1" x14ac:dyDescent="0.2">
      <c r="A846" s="136"/>
      <c r="H846" s="137"/>
      <c r="I846" s="137"/>
      <c r="K846" s="137"/>
      <c r="L846" s="9"/>
    </row>
    <row r="847" spans="1:12" ht="12" customHeight="1" x14ac:dyDescent="0.2">
      <c r="A847" s="136"/>
      <c r="H847" s="137"/>
      <c r="I847" s="137"/>
      <c r="K847" s="137"/>
      <c r="L847" s="9"/>
    </row>
    <row r="848" spans="1:12" ht="12" customHeight="1" x14ac:dyDescent="0.2">
      <c r="A848" s="136"/>
      <c r="H848" s="137"/>
      <c r="I848" s="137"/>
      <c r="K848" s="137"/>
      <c r="L848" s="9"/>
    </row>
    <row r="849" spans="1:12" ht="12" customHeight="1" x14ac:dyDescent="0.2">
      <c r="A849" s="136"/>
      <c r="H849" s="137"/>
      <c r="I849" s="137"/>
      <c r="K849" s="137"/>
      <c r="L849" s="9"/>
    </row>
    <row r="850" spans="1:12" ht="12" customHeight="1" x14ac:dyDescent="0.2">
      <c r="A850" s="136"/>
      <c r="H850" s="137"/>
      <c r="I850" s="137"/>
      <c r="K850" s="137"/>
      <c r="L850" s="9"/>
    </row>
    <row r="851" spans="1:12" ht="12" customHeight="1" x14ac:dyDescent="0.2">
      <c r="A851" s="136"/>
      <c r="H851" s="137"/>
      <c r="I851" s="137"/>
      <c r="K851" s="137"/>
      <c r="L851" s="9"/>
    </row>
    <row r="852" spans="1:12" ht="12" customHeight="1" x14ac:dyDescent="0.2">
      <c r="A852" s="136"/>
      <c r="H852" s="137"/>
      <c r="I852" s="137"/>
      <c r="K852" s="137"/>
      <c r="L852" s="9"/>
    </row>
    <row r="853" spans="1:12" ht="12" customHeight="1" x14ac:dyDescent="0.2">
      <c r="A853" s="136"/>
      <c r="H853" s="137"/>
      <c r="I853" s="137"/>
      <c r="K853" s="137"/>
      <c r="L853" s="9"/>
    </row>
    <row r="854" spans="1:12" ht="12" customHeight="1" x14ac:dyDescent="0.2">
      <c r="A854" s="136"/>
      <c r="H854" s="137"/>
      <c r="I854" s="137"/>
      <c r="K854" s="137"/>
      <c r="L854" s="9"/>
    </row>
    <row r="855" spans="1:12" ht="12" customHeight="1" x14ac:dyDescent="0.2">
      <c r="A855" s="136"/>
      <c r="H855" s="137"/>
      <c r="I855" s="137"/>
      <c r="K855" s="137"/>
      <c r="L855" s="9"/>
    </row>
    <row r="856" spans="1:12" ht="12" customHeight="1" x14ac:dyDescent="0.2">
      <c r="A856" s="136"/>
      <c r="H856" s="137"/>
      <c r="I856" s="137"/>
      <c r="K856" s="137"/>
      <c r="L856" s="9"/>
    </row>
    <row r="857" spans="1:12" ht="12" customHeight="1" x14ac:dyDescent="0.2">
      <c r="A857" s="136"/>
      <c r="H857" s="137"/>
      <c r="I857" s="137"/>
      <c r="K857" s="137"/>
      <c r="L857" s="9"/>
    </row>
    <row r="858" spans="1:12" ht="12" customHeight="1" x14ac:dyDescent="0.2">
      <c r="A858" s="136"/>
      <c r="H858" s="137"/>
      <c r="I858" s="137"/>
      <c r="K858" s="137"/>
      <c r="L858" s="9"/>
    </row>
    <row r="859" spans="1:12" ht="12" customHeight="1" x14ac:dyDescent="0.2">
      <c r="A859" s="136"/>
      <c r="H859" s="137"/>
      <c r="I859" s="137"/>
      <c r="K859" s="137"/>
      <c r="L859" s="9"/>
    </row>
    <row r="860" spans="1:12" ht="12" customHeight="1" x14ac:dyDescent="0.2">
      <c r="A860" s="136"/>
      <c r="H860" s="137"/>
      <c r="I860" s="137"/>
      <c r="K860" s="137"/>
      <c r="L860" s="9"/>
    </row>
    <row r="861" spans="1:12" ht="12" customHeight="1" x14ac:dyDescent="0.2">
      <c r="A861" s="136"/>
      <c r="H861" s="137"/>
      <c r="I861" s="137"/>
      <c r="K861" s="137"/>
      <c r="L861" s="9"/>
    </row>
    <row r="862" spans="1:12" ht="12" customHeight="1" x14ac:dyDescent="0.2">
      <c r="A862" s="136"/>
      <c r="H862" s="137"/>
      <c r="I862" s="137"/>
      <c r="K862" s="137"/>
      <c r="L862" s="9"/>
    </row>
    <row r="863" spans="1:12" ht="12" customHeight="1" x14ac:dyDescent="0.2">
      <c r="A863" s="136"/>
      <c r="H863" s="137"/>
      <c r="I863" s="137"/>
      <c r="K863" s="137"/>
      <c r="L863" s="9"/>
    </row>
    <row r="864" spans="1:12" ht="12" customHeight="1" x14ac:dyDescent="0.2">
      <c r="A864" s="136"/>
      <c r="H864" s="137"/>
      <c r="I864" s="137"/>
      <c r="K864" s="137"/>
      <c r="L864" s="9"/>
    </row>
    <row r="865" spans="1:12" ht="12" customHeight="1" x14ac:dyDescent="0.2">
      <c r="A865" s="136"/>
      <c r="H865" s="137"/>
      <c r="I865" s="137"/>
      <c r="K865" s="137"/>
      <c r="L865" s="9"/>
    </row>
    <row r="866" spans="1:12" ht="12" customHeight="1" x14ac:dyDescent="0.2">
      <c r="A866" s="136"/>
      <c r="H866" s="137"/>
      <c r="I866" s="137"/>
      <c r="K866" s="137"/>
      <c r="L866" s="9"/>
    </row>
    <row r="867" spans="1:12" ht="12" customHeight="1" x14ac:dyDescent="0.2">
      <c r="A867" s="136"/>
      <c r="H867" s="137"/>
      <c r="I867" s="137"/>
      <c r="K867" s="137"/>
      <c r="L867" s="9"/>
    </row>
    <row r="868" spans="1:12" ht="12" customHeight="1" x14ac:dyDescent="0.2">
      <c r="A868" s="136"/>
      <c r="H868" s="137"/>
      <c r="I868" s="137"/>
      <c r="K868" s="137"/>
      <c r="L868" s="9"/>
    </row>
    <row r="869" spans="1:12" ht="12" customHeight="1" x14ac:dyDescent="0.2">
      <c r="A869" s="136"/>
      <c r="H869" s="137"/>
      <c r="I869" s="137"/>
      <c r="K869" s="137"/>
      <c r="L869" s="9"/>
    </row>
    <row r="870" spans="1:12" ht="12" customHeight="1" x14ac:dyDescent="0.2">
      <c r="A870" s="136"/>
      <c r="H870" s="137"/>
      <c r="I870" s="137"/>
      <c r="K870" s="137"/>
      <c r="L870" s="9"/>
    </row>
    <row r="871" spans="1:12" ht="12" customHeight="1" x14ac:dyDescent="0.2">
      <c r="A871" s="136"/>
      <c r="H871" s="137"/>
      <c r="I871" s="137"/>
      <c r="K871" s="137"/>
      <c r="L871" s="9"/>
    </row>
    <row r="872" spans="1:12" ht="12" customHeight="1" x14ac:dyDescent="0.2">
      <c r="A872" s="136"/>
      <c r="H872" s="137"/>
      <c r="I872" s="137"/>
      <c r="K872" s="137"/>
      <c r="L872" s="9"/>
    </row>
    <row r="873" spans="1:12" ht="12" customHeight="1" x14ac:dyDescent="0.2">
      <c r="A873" s="136"/>
      <c r="H873" s="137"/>
      <c r="I873" s="137"/>
      <c r="K873" s="137"/>
      <c r="L873" s="9"/>
    </row>
    <row r="874" spans="1:12" ht="12" customHeight="1" x14ac:dyDescent="0.2">
      <c r="A874" s="136"/>
      <c r="H874" s="137"/>
      <c r="I874" s="137"/>
      <c r="K874" s="137"/>
      <c r="L874" s="9"/>
    </row>
    <row r="875" spans="1:12" ht="12" customHeight="1" x14ac:dyDescent="0.2">
      <c r="A875" s="136"/>
      <c r="H875" s="137"/>
      <c r="I875" s="137"/>
      <c r="K875" s="137"/>
      <c r="L875" s="9"/>
    </row>
    <row r="876" spans="1:12" ht="12" customHeight="1" x14ac:dyDescent="0.2">
      <c r="A876" s="136"/>
      <c r="H876" s="137"/>
      <c r="I876" s="137"/>
      <c r="K876" s="137"/>
      <c r="L876" s="9"/>
    </row>
    <row r="877" spans="1:12" ht="12" customHeight="1" x14ac:dyDescent="0.2">
      <c r="A877" s="136"/>
      <c r="H877" s="137"/>
      <c r="I877" s="137"/>
      <c r="K877" s="137"/>
      <c r="L877" s="9"/>
    </row>
    <row r="878" spans="1:12" ht="12" customHeight="1" x14ac:dyDescent="0.2">
      <c r="A878" s="136"/>
      <c r="H878" s="137"/>
      <c r="I878" s="137"/>
      <c r="K878" s="137"/>
      <c r="L878" s="9"/>
    </row>
    <row r="879" spans="1:12" ht="12" customHeight="1" x14ac:dyDescent="0.2">
      <c r="A879" s="136"/>
      <c r="H879" s="137"/>
      <c r="I879" s="137"/>
      <c r="K879" s="137"/>
      <c r="L879" s="9"/>
    </row>
    <row r="880" spans="1:12" ht="12" customHeight="1" x14ac:dyDescent="0.2">
      <c r="A880" s="136"/>
      <c r="H880" s="137"/>
      <c r="I880" s="137"/>
      <c r="K880" s="137"/>
      <c r="L880" s="9"/>
    </row>
    <row r="881" spans="1:12" ht="12" customHeight="1" x14ac:dyDescent="0.2">
      <c r="A881" s="136"/>
      <c r="H881" s="137"/>
      <c r="I881" s="137"/>
      <c r="K881" s="137"/>
      <c r="L881" s="9"/>
    </row>
    <row r="882" spans="1:12" ht="12" customHeight="1" x14ac:dyDescent="0.2">
      <c r="A882" s="136"/>
      <c r="H882" s="137"/>
      <c r="I882" s="137"/>
      <c r="K882" s="137"/>
      <c r="L882" s="9"/>
    </row>
    <row r="883" spans="1:12" ht="12" customHeight="1" x14ac:dyDescent="0.2">
      <c r="A883" s="136"/>
      <c r="H883" s="137"/>
      <c r="I883" s="137"/>
      <c r="K883" s="137"/>
      <c r="L883" s="9"/>
    </row>
    <row r="884" spans="1:12" ht="12" customHeight="1" x14ac:dyDescent="0.2">
      <c r="A884" s="136"/>
      <c r="H884" s="137"/>
      <c r="I884" s="137"/>
      <c r="K884" s="137"/>
      <c r="L884" s="9"/>
    </row>
    <row r="885" spans="1:12" ht="12" customHeight="1" x14ac:dyDescent="0.2">
      <c r="A885" s="136"/>
      <c r="H885" s="137"/>
      <c r="I885" s="137"/>
      <c r="K885" s="137"/>
      <c r="L885" s="9"/>
    </row>
    <row r="886" spans="1:12" ht="12" customHeight="1" x14ac:dyDescent="0.2">
      <c r="A886" s="136"/>
      <c r="H886" s="137"/>
      <c r="I886" s="137"/>
      <c r="K886" s="137"/>
      <c r="L886" s="9"/>
    </row>
    <row r="887" spans="1:12" ht="12" customHeight="1" x14ac:dyDescent="0.2">
      <c r="A887" s="136"/>
      <c r="H887" s="137"/>
      <c r="I887" s="137"/>
      <c r="K887" s="137"/>
      <c r="L887" s="9"/>
    </row>
    <row r="888" spans="1:12" ht="12" customHeight="1" x14ac:dyDescent="0.2">
      <c r="A888" s="136"/>
      <c r="H888" s="137"/>
      <c r="I888" s="137"/>
      <c r="K888" s="137"/>
      <c r="L888" s="9"/>
    </row>
    <row r="889" spans="1:12" ht="12" customHeight="1" x14ac:dyDescent="0.2">
      <c r="A889" s="136"/>
      <c r="H889" s="137"/>
      <c r="I889" s="137"/>
      <c r="K889" s="137"/>
      <c r="L889" s="9"/>
    </row>
    <row r="890" spans="1:12" ht="12" customHeight="1" x14ac:dyDescent="0.2">
      <c r="A890" s="136"/>
      <c r="H890" s="137"/>
      <c r="I890" s="137"/>
      <c r="K890" s="137"/>
      <c r="L890" s="9"/>
    </row>
    <row r="891" spans="1:12" ht="12" customHeight="1" x14ac:dyDescent="0.2">
      <c r="A891" s="136"/>
      <c r="H891" s="137"/>
      <c r="I891" s="137"/>
      <c r="K891" s="137"/>
      <c r="L891" s="9"/>
    </row>
    <row r="892" spans="1:12" ht="12" customHeight="1" x14ac:dyDescent="0.2">
      <c r="A892" s="136"/>
      <c r="H892" s="137"/>
      <c r="I892" s="137"/>
      <c r="K892" s="137"/>
      <c r="L892" s="9"/>
    </row>
    <row r="893" spans="1:12" ht="12" customHeight="1" x14ac:dyDescent="0.2">
      <c r="A893" s="136"/>
      <c r="H893" s="137"/>
      <c r="I893" s="137"/>
      <c r="K893" s="137"/>
      <c r="L893" s="9"/>
    </row>
    <row r="894" spans="1:12" ht="12" customHeight="1" x14ac:dyDescent="0.2">
      <c r="A894" s="136"/>
      <c r="H894" s="137"/>
      <c r="I894" s="137"/>
      <c r="K894" s="137"/>
      <c r="L894" s="9"/>
    </row>
    <row r="895" spans="1:12" ht="12" customHeight="1" x14ac:dyDescent="0.2">
      <c r="A895" s="136"/>
      <c r="H895" s="137"/>
      <c r="I895" s="137"/>
      <c r="K895" s="137"/>
      <c r="L895" s="9"/>
    </row>
    <row r="896" spans="1:12" ht="12" customHeight="1" x14ac:dyDescent="0.2">
      <c r="A896" s="136"/>
      <c r="H896" s="137"/>
      <c r="I896" s="137"/>
      <c r="K896" s="137"/>
      <c r="L896" s="9"/>
    </row>
    <row r="897" spans="1:12" ht="12" customHeight="1" x14ac:dyDescent="0.2">
      <c r="A897" s="136"/>
      <c r="H897" s="137"/>
      <c r="I897" s="137"/>
      <c r="K897" s="137"/>
      <c r="L897" s="9"/>
    </row>
    <row r="898" spans="1:12" ht="12" customHeight="1" x14ac:dyDescent="0.2">
      <c r="A898" s="136"/>
      <c r="H898" s="137"/>
      <c r="I898" s="137"/>
      <c r="K898" s="137"/>
      <c r="L898" s="9"/>
    </row>
    <row r="899" spans="1:12" ht="12" customHeight="1" x14ac:dyDescent="0.2">
      <c r="A899" s="136"/>
      <c r="H899" s="137"/>
      <c r="I899" s="137"/>
      <c r="K899" s="137"/>
      <c r="L899" s="9"/>
    </row>
    <row r="900" spans="1:12" ht="12" customHeight="1" x14ac:dyDescent="0.2">
      <c r="A900" s="136"/>
      <c r="H900" s="137"/>
      <c r="I900" s="137"/>
      <c r="K900" s="137"/>
      <c r="L900" s="9"/>
    </row>
    <row r="901" spans="1:12" ht="12" customHeight="1" x14ac:dyDescent="0.2">
      <c r="A901" s="136"/>
      <c r="H901" s="137"/>
      <c r="I901" s="137"/>
      <c r="K901" s="137"/>
      <c r="L901" s="9"/>
    </row>
    <row r="902" spans="1:12" ht="12" customHeight="1" x14ac:dyDescent="0.2">
      <c r="A902" s="136"/>
      <c r="H902" s="137"/>
      <c r="I902" s="137"/>
      <c r="K902" s="137"/>
      <c r="L902" s="9"/>
    </row>
    <row r="903" spans="1:12" ht="12" customHeight="1" x14ac:dyDescent="0.2">
      <c r="A903" s="136"/>
      <c r="H903" s="137"/>
      <c r="I903" s="137"/>
      <c r="K903" s="137"/>
      <c r="L903" s="9"/>
    </row>
    <row r="904" spans="1:12" ht="12" customHeight="1" x14ac:dyDescent="0.2">
      <c r="A904" s="136"/>
      <c r="H904" s="137"/>
      <c r="I904" s="137"/>
      <c r="K904" s="137"/>
      <c r="L904" s="9"/>
    </row>
    <row r="905" spans="1:12" ht="12" customHeight="1" x14ac:dyDescent="0.2">
      <c r="A905" s="136"/>
      <c r="H905" s="137"/>
      <c r="I905" s="137"/>
      <c r="K905" s="137"/>
      <c r="L905" s="9"/>
    </row>
    <row r="906" spans="1:12" ht="12" customHeight="1" x14ac:dyDescent="0.2">
      <c r="A906" s="136"/>
      <c r="H906" s="137"/>
      <c r="I906" s="137"/>
      <c r="K906" s="137"/>
      <c r="L906" s="9"/>
    </row>
    <row r="907" spans="1:12" ht="12" customHeight="1" x14ac:dyDescent="0.2">
      <c r="A907" s="136"/>
      <c r="H907" s="137"/>
      <c r="I907" s="137"/>
      <c r="K907" s="137"/>
      <c r="L907" s="9"/>
    </row>
    <row r="908" spans="1:12" ht="12" customHeight="1" x14ac:dyDescent="0.2">
      <c r="A908" s="136"/>
      <c r="H908" s="137"/>
      <c r="I908" s="137"/>
      <c r="K908" s="137"/>
      <c r="L908" s="9"/>
    </row>
    <row r="909" spans="1:12" ht="12" customHeight="1" x14ac:dyDescent="0.2">
      <c r="A909" s="136"/>
      <c r="H909" s="137"/>
      <c r="I909" s="137"/>
      <c r="K909" s="137"/>
      <c r="L909" s="9"/>
    </row>
    <row r="910" spans="1:12" ht="12" customHeight="1" x14ac:dyDescent="0.2">
      <c r="A910" s="136"/>
      <c r="H910" s="137"/>
      <c r="I910" s="137"/>
      <c r="K910" s="137"/>
      <c r="L910" s="9"/>
    </row>
    <row r="911" spans="1:12" ht="12" customHeight="1" x14ac:dyDescent="0.2">
      <c r="A911" s="136"/>
      <c r="H911" s="137"/>
      <c r="I911" s="137"/>
      <c r="K911" s="137"/>
      <c r="L911" s="9"/>
    </row>
    <row r="912" spans="1:12" ht="12" customHeight="1" x14ac:dyDescent="0.2">
      <c r="A912" s="136"/>
      <c r="H912" s="137"/>
      <c r="I912" s="137"/>
      <c r="K912" s="137"/>
      <c r="L912" s="9"/>
    </row>
    <row r="913" spans="1:12" ht="12" customHeight="1" x14ac:dyDescent="0.2">
      <c r="A913" s="136"/>
      <c r="H913" s="137"/>
      <c r="I913" s="137"/>
      <c r="K913" s="137"/>
      <c r="L913" s="9"/>
    </row>
    <row r="914" spans="1:12" ht="12" customHeight="1" x14ac:dyDescent="0.2">
      <c r="A914" s="136"/>
      <c r="H914" s="137"/>
      <c r="I914" s="137"/>
      <c r="K914" s="137"/>
      <c r="L914" s="9"/>
    </row>
    <row r="915" spans="1:12" ht="12" customHeight="1" x14ac:dyDescent="0.2">
      <c r="A915" s="136"/>
      <c r="H915" s="137"/>
      <c r="I915" s="137"/>
      <c r="K915" s="137"/>
      <c r="L915" s="9"/>
    </row>
    <row r="916" spans="1:12" ht="12" customHeight="1" x14ac:dyDescent="0.2">
      <c r="A916" s="136"/>
      <c r="H916" s="137"/>
      <c r="I916" s="137"/>
      <c r="K916" s="137"/>
      <c r="L916" s="9"/>
    </row>
    <row r="917" spans="1:12" ht="12" customHeight="1" x14ac:dyDescent="0.2">
      <c r="A917" s="136"/>
      <c r="H917" s="137"/>
      <c r="I917" s="137"/>
      <c r="K917" s="137"/>
      <c r="L917" s="9"/>
    </row>
    <row r="918" spans="1:12" ht="12" customHeight="1" x14ac:dyDescent="0.2">
      <c r="A918" s="136"/>
      <c r="H918" s="137"/>
      <c r="I918" s="137"/>
      <c r="K918" s="137"/>
      <c r="L918" s="9"/>
    </row>
    <row r="919" spans="1:12" ht="12" customHeight="1" x14ac:dyDescent="0.2">
      <c r="A919" s="136"/>
      <c r="H919" s="137"/>
      <c r="I919" s="137"/>
      <c r="K919" s="137"/>
      <c r="L919" s="9"/>
    </row>
    <row r="920" spans="1:12" ht="12" customHeight="1" x14ac:dyDescent="0.2">
      <c r="A920" s="136"/>
      <c r="H920" s="137"/>
      <c r="I920" s="137"/>
      <c r="K920" s="137"/>
      <c r="L920" s="9"/>
    </row>
    <row r="921" spans="1:12" ht="12" customHeight="1" x14ac:dyDescent="0.2">
      <c r="A921" s="136"/>
      <c r="H921" s="137"/>
      <c r="I921" s="137"/>
      <c r="K921" s="137"/>
      <c r="L921" s="9"/>
    </row>
    <row r="922" spans="1:12" ht="12" customHeight="1" x14ac:dyDescent="0.2">
      <c r="A922" s="136"/>
      <c r="H922" s="137"/>
      <c r="I922" s="137"/>
      <c r="K922" s="137"/>
      <c r="L922" s="9"/>
    </row>
    <row r="923" spans="1:12" ht="12" customHeight="1" x14ac:dyDescent="0.2">
      <c r="A923" s="136"/>
      <c r="H923" s="137"/>
      <c r="I923" s="137"/>
      <c r="K923" s="137"/>
      <c r="L923" s="9"/>
    </row>
    <row r="924" spans="1:12" ht="12" customHeight="1" x14ac:dyDescent="0.2">
      <c r="A924" s="136"/>
      <c r="H924" s="137"/>
      <c r="I924" s="137"/>
      <c r="K924" s="137"/>
      <c r="L924" s="9"/>
    </row>
    <row r="925" spans="1:12" ht="12" customHeight="1" x14ac:dyDescent="0.2">
      <c r="A925" s="136"/>
      <c r="H925" s="137"/>
      <c r="I925" s="137"/>
      <c r="K925" s="137"/>
      <c r="L925" s="9"/>
    </row>
    <row r="926" spans="1:12" ht="12" customHeight="1" x14ac:dyDescent="0.2">
      <c r="A926" s="136"/>
      <c r="H926" s="137"/>
      <c r="I926" s="137"/>
      <c r="K926" s="137"/>
      <c r="L926" s="9"/>
    </row>
    <row r="927" spans="1:12" ht="12" customHeight="1" x14ac:dyDescent="0.2">
      <c r="A927" s="136"/>
      <c r="H927" s="137"/>
      <c r="I927" s="137"/>
      <c r="K927" s="137"/>
      <c r="L927" s="9"/>
    </row>
    <row r="928" spans="1:12" ht="12" customHeight="1" x14ac:dyDescent="0.2">
      <c r="A928" s="136"/>
      <c r="H928" s="137"/>
      <c r="I928" s="137"/>
      <c r="K928" s="137"/>
      <c r="L928" s="9"/>
    </row>
    <row r="929" spans="1:12" ht="12" customHeight="1" x14ac:dyDescent="0.2">
      <c r="A929" s="136"/>
      <c r="H929" s="137"/>
      <c r="I929" s="137"/>
      <c r="K929" s="137"/>
      <c r="L929" s="9"/>
    </row>
    <row r="930" spans="1:12" ht="12" customHeight="1" x14ac:dyDescent="0.2">
      <c r="A930" s="136"/>
      <c r="H930" s="137"/>
      <c r="I930" s="137"/>
      <c r="K930" s="137"/>
      <c r="L930" s="9"/>
    </row>
    <row r="931" spans="1:12" ht="12" customHeight="1" x14ac:dyDescent="0.2">
      <c r="A931" s="136"/>
      <c r="H931" s="137"/>
      <c r="I931" s="137"/>
      <c r="K931" s="137"/>
      <c r="L931" s="9"/>
    </row>
    <row r="932" spans="1:12" ht="12" customHeight="1" x14ac:dyDescent="0.2">
      <c r="A932" s="136"/>
      <c r="H932" s="137"/>
      <c r="I932" s="137"/>
      <c r="K932" s="137"/>
      <c r="L932" s="9"/>
    </row>
    <row r="933" spans="1:12" ht="12" customHeight="1" x14ac:dyDescent="0.2">
      <c r="A933" s="136"/>
      <c r="H933" s="137"/>
      <c r="I933" s="137"/>
      <c r="K933" s="137"/>
      <c r="L933" s="9"/>
    </row>
    <row r="934" spans="1:12" ht="12" customHeight="1" x14ac:dyDescent="0.2">
      <c r="A934" s="136"/>
      <c r="H934" s="137"/>
      <c r="I934" s="137"/>
      <c r="K934" s="137"/>
      <c r="L934" s="9"/>
    </row>
    <row r="935" spans="1:12" ht="12" customHeight="1" x14ac:dyDescent="0.2">
      <c r="A935" s="136"/>
      <c r="H935" s="137"/>
      <c r="I935" s="137"/>
      <c r="K935" s="137"/>
      <c r="L935" s="9"/>
    </row>
    <row r="936" spans="1:12" ht="12" customHeight="1" x14ac:dyDescent="0.2">
      <c r="A936" s="136"/>
      <c r="H936" s="137"/>
      <c r="I936" s="137"/>
      <c r="K936" s="137"/>
      <c r="L936" s="9"/>
    </row>
    <row r="937" spans="1:12" ht="12" customHeight="1" x14ac:dyDescent="0.2">
      <c r="A937" s="136"/>
      <c r="H937" s="137"/>
      <c r="I937" s="137"/>
      <c r="K937" s="137"/>
      <c r="L937" s="9"/>
    </row>
    <row r="938" spans="1:12" ht="12" customHeight="1" x14ac:dyDescent="0.2">
      <c r="A938" s="136"/>
      <c r="H938" s="137"/>
      <c r="I938" s="137"/>
      <c r="K938" s="137"/>
      <c r="L938" s="9"/>
    </row>
    <row r="939" spans="1:12" ht="12" customHeight="1" x14ac:dyDescent="0.2">
      <c r="A939" s="136"/>
      <c r="H939" s="137"/>
      <c r="I939" s="137"/>
      <c r="K939" s="137"/>
      <c r="L939" s="9"/>
    </row>
    <row r="940" spans="1:12" ht="12" customHeight="1" x14ac:dyDescent="0.2">
      <c r="A940" s="136"/>
      <c r="H940" s="137"/>
      <c r="I940" s="137"/>
      <c r="K940" s="137"/>
      <c r="L940" s="9"/>
    </row>
    <row r="941" spans="1:12" ht="12" customHeight="1" x14ac:dyDescent="0.2">
      <c r="A941" s="136"/>
      <c r="H941" s="137"/>
      <c r="I941" s="137"/>
      <c r="K941" s="137"/>
      <c r="L941" s="9"/>
    </row>
    <row r="942" spans="1:12" ht="12" customHeight="1" x14ac:dyDescent="0.2">
      <c r="A942" s="136"/>
      <c r="H942" s="137"/>
      <c r="I942" s="137"/>
      <c r="K942" s="137"/>
      <c r="L942" s="9"/>
    </row>
    <row r="943" spans="1:12" ht="12" customHeight="1" x14ac:dyDescent="0.2">
      <c r="A943" s="136"/>
      <c r="H943" s="137"/>
      <c r="I943" s="137"/>
      <c r="K943" s="137"/>
      <c r="L943" s="9"/>
    </row>
    <row r="944" spans="1:12" ht="12" customHeight="1" x14ac:dyDescent="0.2">
      <c r="A944" s="136"/>
      <c r="H944" s="137"/>
      <c r="I944" s="137"/>
      <c r="K944" s="137"/>
      <c r="L944" s="9"/>
    </row>
    <row r="945" spans="1:12" ht="12" customHeight="1" x14ac:dyDescent="0.2">
      <c r="A945" s="136"/>
      <c r="H945" s="137"/>
      <c r="I945" s="137"/>
      <c r="K945" s="137"/>
      <c r="L945" s="9"/>
    </row>
    <row r="946" spans="1:12" ht="12" customHeight="1" x14ac:dyDescent="0.2">
      <c r="A946" s="136"/>
      <c r="H946" s="137"/>
      <c r="I946" s="137"/>
      <c r="K946" s="137"/>
      <c r="L946" s="9"/>
    </row>
    <row r="947" spans="1:12" ht="12" customHeight="1" x14ac:dyDescent="0.2">
      <c r="A947" s="136"/>
      <c r="H947" s="137"/>
      <c r="I947" s="137"/>
      <c r="K947" s="137"/>
      <c r="L947" s="9"/>
    </row>
    <row r="948" spans="1:12" ht="12" customHeight="1" x14ac:dyDescent="0.2">
      <c r="A948" s="136"/>
      <c r="H948" s="137"/>
      <c r="I948" s="137"/>
      <c r="K948" s="137"/>
      <c r="L948" s="9"/>
    </row>
    <row r="949" spans="1:12" ht="12" customHeight="1" x14ac:dyDescent="0.2">
      <c r="A949" s="136"/>
      <c r="H949" s="137"/>
      <c r="I949" s="137"/>
      <c r="K949" s="137"/>
      <c r="L949" s="9"/>
    </row>
    <row r="950" spans="1:12" ht="12" customHeight="1" x14ac:dyDescent="0.2">
      <c r="A950" s="136"/>
      <c r="H950" s="137"/>
      <c r="I950" s="137"/>
      <c r="K950" s="137"/>
      <c r="L950" s="9"/>
    </row>
    <row r="951" spans="1:12" ht="12" customHeight="1" x14ac:dyDescent="0.2">
      <c r="A951" s="136"/>
      <c r="H951" s="137"/>
      <c r="I951" s="137"/>
      <c r="K951" s="137"/>
      <c r="L951" s="9"/>
    </row>
    <row r="952" spans="1:12" ht="12" customHeight="1" x14ac:dyDescent="0.2">
      <c r="A952" s="136"/>
      <c r="H952" s="137"/>
      <c r="I952" s="137"/>
      <c r="K952" s="137"/>
      <c r="L952" s="9"/>
    </row>
    <row r="953" spans="1:12" ht="12" customHeight="1" x14ac:dyDescent="0.2">
      <c r="A953" s="136"/>
      <c r="H953" s="137"/>
      <c r="I953" s="137"/>
      <c r="K953" s="137"/>
      <c r="L953" s="9"/>
    </row>
    <row r="954" spans="1:12" ht="12" customHeight="1" x14ac:dyDescent="0.2">
      <c r="A954" s="136"/>
      <c r="H954" s="137"/>
      <c r="I954" s="137"/>
      <c r="K954" s="137"/>
      <c r="L954" s="9"/>
    </row>
    <row r="955" spans="1:12" ht="12" customHeight="1" x14ac:dyDescent="0.2">
      <c r="A955" s="136"/>
      <c r="H955" s="137"/>
      <c r="I955" s="137"/>
      <c r="K955" s="137"/>
      <c r="L955" s="9"/>
    </row>
    <row r="956" spans="1:12" ht="12" customHeight="1" x14ac:dyDescent="0.2">
      <c r="A956" s="136"/>
      <c r="H956" s="137"/>
      <c r="I956" s="137"/>
      <c r="K956" s="137"/>
      <c r="L956" s="9"/>
    </row>
    <row r="957" spans="1:12" ht="12" customHeight="1" x14ac:dyDescent="0.2">
      <c r="A957" s="136"/>
      <c r="H957" s="137"/>
      <c r="I957" s="137"/>
      <c r="K957" s="137"/>
      <c r="L957" s="9"/>
    </row>
    <row r="958" spans="1:12" ht="12" customHeight="1" x14ac:dyDescent="0.2">
      <c r="A958" s="136"/>
      <c r="H958" s="137"/>
      <c r="I958" s="137"/>
      <c r="K958" s="137"/>
      <c r="L958" s="9"/>
    </row>
    <row r="959" spans="1:12" ht="12" customHeight="1" x14ac:dyDescent="0.2">
      <c r="A959" s="136"/>
      <c r="H959" s="137"/>
      <c r="I959" s="137"/>
      <c r="K959" s="137"/>
      <c r="L959" s="9"/>
    </row>
    <row r="960" spans="1:12" ht="12" customHeight="1" x14ac:dyDescent="0.2">
      <c r="A960" s="136"/>
      <c r="H960" s="137"/>
      <c r="I960" s="137"/>
      <c r="K960" s="137"/>
      <c r="L960" s="9"/>
    </row>
    <row r="961" spans="1:12" ht="12" customHeight="1" x14ac:dyDescent="0.2">
      <c r="A961" s="136"/>
      <c r="H961" s="137"/>
      <c r="I961" s="137"/>
      <c r="K961" s="137"/>
      <c r="L961" s="9"/>
    </row>
    <row r="962" spans="1:12" ht="12" customHeight="1" x14ac:dyDescent="0.2">
      <c r="A962" s="136"/>
      <c r="H962" s="137"/>
      <c r="I962" s="137"/>
      <c r="K962" s="137"/>
      <c r="L962" s="9"/>
    </row>
    <row r="963" spans="1:12" ht="12" customHeight="1" x14ac:dyDescent="0.2">
      <c r="A963" s="136"/>
      <c r="H963" s="137"/>
      <c r="I963" s="137"/>
      <c r="K963" s="137"/>
      <c r="L963" s="9"/>
    </row>
    <row r="964" spans="1:12" ht="12" customHeight="1" x14ac:dyDescent="0.2">
      <c r="A964" s="136"/>
      <c r="H964" s="137"/>
      <c r="I964" s="137"/>
      <c r="K964" s="137"/>
      <c r="L964" s="9"/>
    </row>
    <row r="965" spans="1:12" ht="12" customHeight="1" x14ac:dyDescent="0.2">
      <c r="A965" s="136"/>
      <c r="H965" s="137"/>
      <c r="I965" s="137"/>
      <c r="K965" s="137"/>
      <c r="L965" s="9"/>
    </row>
    <row r="966" spans="1:12" ht="12" customHeight="1" x14ac:dyDescent="0.2">
      <c r="A966" s="136"/>
      <c r="H966" s="137"/>
      <c r="I966" s="137"/>
      <c r="K966" s="137"/>
      <c r="L966" s="9"/>
    </row>
    <row r="967" spans="1:12" ht="12" customHeight="1" x14ac:dyDescent="0.2">
      <c r="A967" s="136"/>
      <c r="H967" s="137"/>
      <c r="I967" s="137"/>
      <c r="K967" s="137"/>
      <c r="L967" s="9"/>
    </row>
    <row r="968" spans="1:12" ht="12" customHeight="1" x14ac:dyDescent="0.2">
      <c r="A968" s="136"/>
      <c r="H968" s="137"/>
      <c r="I968" s="137"/>
      <c r="K968" s="137"/>
      <c r="L968" s="9"/>
    </row>
    <row r="969" spans="1:12" ht="12" customHeight="1" x14ac:dyDescent="0.2">
      <c r="A969" s="136"/>
      <c r="H969" s="137"/>
      <c r="I969" s="137"/>
      <c r="K969" s="137"/>
      <c r="L969" s="9"/>
    </row>
    <row r="970" spans="1:12" ht="12" customHeight="1" x14ac:dyDescent="0.2">
      <c r="A970" s="136"/>
      <c r="H970" s="137"/>
      <c r="I970" s="137"/>
      <c r="K970" s="137"/>
      <c r="L970" s="9"/>
    </row>
    <row r="971" spans="1:12" ht="12" customHeight="1" x14ac:dyDescent="0.2">
      <c r="A971" s="136"/>
      <c r="H971" s="137"/>
      <c r="I971" s="137"/>
      <c r="K971" s="137"/>
      <c r="L971" s="9"/>
    </row>
    <row r="972" spans="1:12" ht="12" customHeight="1" x14ac:dyDescent="0.2">
      <c r="A972" s="136"/>
      <c r="H972" s="137"/>
      <c r="I972" s="137"/>
      <c r="K972" s="137"/>
      <c r="L972" s="9"/>
    </row>
    <row r="973" spans="1:12" ht="12" customHeight="1" x14ac:dyDescent="0.2">
      <c r="A973" s="136"/>
      <c r="H973" s="137"/>
      <c r="I973" s="137"/>
      <c r="K973" s="137"/>
      <c r="L973" s="9"/>
    </row>
    <row r="974" spans="1:12" ht="12" customHeight="1" x14ac:dyDescent="0.2">
      <c r="A974" s="136"/>
      <c r="H974" s="137"/>
      <c r="I974" s="137"/>
      <c r="K974" s="137"/>
      <c r="L974" s="9"/>
    </row>
    <row r="975" spans="1:12" ht="12" customHeight="1" x14ac:dyDescent="0.2">
      <c r="A975" s="136"/>
      <c r="H975" s="137"/>
      <c r="I975" s="137"/>
      <c r="K975" s="137"/>
      <c r="L975" s="9"/>
    </row>
    <row r="976" spans="1:12" ht="12" customHeight="1" x14ac:dyDescent="0.2">
      <c r="A976" s="136"/>
      <c r="H976" s="137"/>
      <c r="I976" s="137"/>
      <c r="K976" s="137"/>
      <c r="L976" s="9"/>
    </row>
    <row r="977" spans="1:12" ht="12" customHeight="1" x14ac:dyDescent="0.2">
      <c r="A977" s="136"/>
      <c r="H977" s="137"/>
      <c r="I977" s="137"/>
      <c r="K977" s="137"/>
      <c r="L977" s="9"/>
    </row>
    <row r="978" spans="1:12" ht="12" customHeight="1" x14ac:dyDescent="0.2">
      <c r="A978" s="136"/>
      <c r="H978" s="137"/>
      <c r="I978" s="137"/>
      <c r="K978" s="137"/>
      <c r="L978" s="9"/>
    </row>
    <row r="979" spans="1:12" ht="12" customHeight="1" x14ac:dyDescent="0.2">
      <c r="A979" s="136"/>
      <c r="H979" s="137"/>
      <c r="I979" s="137"/>
      <c r="K979" s="137"/>
      <c r="L979" s="9"/>
    </row>
    <row r="980" spans="1:12" ht="12" customHeight="1" x14ac:dyDescent="0.2">
      <c r="A980" s="136"/>
      <c r="H980" s="137"/>
      <c r="I980" s="137"/>
      <c r="K980" s="137"/>
      <c r="L980" s="9"/>
    </row>
    <row r="981" spans="1:12" ht="12" customHeight="1" x14ac:dyDescent="0.2">
      <c r="A981" s="136"/>
      <c r="H981" s="137"/>
      <c r="I981" s="137"/>
      <c r="K981" s="137"/>
      <c r="L981" s="9"/>
    </row>
    <row r="982" spans="1:12" ht="12" customHeight="1" x14ac:dyDescent="0.2">
      <c r="A982" s="136"/>
      <c r="H982" s="137"/>
      <c r="I982" s="137"/>
      <c r="K982" s="137"/>
      <c r="L982" s="9"/>
    </row>
    <row r="983" spans="1:12" ht="12" customHeight="1" x14ac:dyDescent="0.2">
      <c r="A983" s="136"/>
      <c r="H983" s="137"/>
      <c r="I983" s="137"/>
      <c r="K983" s="137"/>
      <c r="L983" s="9"/>
    </row>
    <row r="984" spans="1:12" ht="12" customHeight="1" x14ac:dyDescent="0.2">
      <c r="A984" s="136"/>
      <c r="H984" s="137"/>
      <c r="I984" s="137"/>
      <c r="K984" s="137"/>
      <c r="L984" s="9"/>
    </row>
    <row r="985" spans="1:12" ht="12" customHeight="1" x14ac:dyDescent="0.2">
      <c r="A985" s="136"/>
      <c r="H985" s="137"/>
      <c r="I985" s="137"/>
      <c r="K985" s="137"/>
      <c r="L985" s="9"/>
    </row>
    <row r="986" spans="1:12" ht="12" customHeight="1" x14ac:dyDescent="0.2">
      <c r="A986" s="136"/>
      <c r="H986" s="137"/>
      <c r="I986" s="137"/>
      <c r="K986" s="137"/>
      <c r="L986" s="9"/>
    </row>
    <row r="987" spans="1:12" ht="12" customHeight="1" x14ac:dyDescent="0.2">
      <c r="A987" s="136"/>
      <c r="H987" s="137"/>
      <c r="I987" s="137"/>
      <c r="K987" s="137"/>
      <c r="L987" s="9"/>
    </row>
    <row r="988" spans="1:12" ht="12" customHeight="1" x14ac:dyDescent="0.2">
      <c r="A988" s="136"/>
      <c r="H988" s="137"/>
      <c r="I988" s="137"/>
      <c r="K988" s="137"/>
      <c r="L988" s="9"/>
    </row>
    <row r="989" spans="1:12" ht="12" customHeight="1" x14ac:dyDescent="0.2">
      <c r="A989" s="136"/>
      <c r="H989" s="137"/>
      <c r="I989" s="137"/>
      <c r="K989" s="137"/>
      <c r="L989" s="9"/>
    </row>
    <row r="990" spans="1:12" ht="12" customHeight="1" x14ac:dyDescent="0.2">
      <c r="A990" s="136"/>
      <c r="H990" s="137"/>
      <c r="I990" s="137"/>
      <c r="K990" s="137"/>
      <c r="L990" s="9"/>
    </row>
    <row r="991" spans="1:12" ht="12" customHeight="1" x14ac:dyDescent="0.2">
      <c r="A991" s="136"/>
      <c r="H991" s="137"/>
      <c r="I991" s="137"/>
      <c r="K991" s="137"/>
      <c r="L991" s="9"/>
    </row>
    <row r="992" spans="1:12" ht="12" customHeight="1" x14ac:dyDescent="0.2">
      <c r="A992" s="136"/>
      <c r="H992" s="137"/>
      <c r="I992" s="137"/>
      <c r="K992" s="137"/>
      <c r="L992" s="9"/>
    </row>
    <row r="993" spans="1:12" ht="12" customHeight="1" x14ac:dyDescent="0.2">
      <c r="A993" s="136"/>
      <c r="H993" s="137"/>
      <c r="I993" s="137"/>
      <c r="K993" s="137"/>
      <c r="L993" s="9"/>
    </row>
    <row r="994" spans="1:12" ht="12" customHeight="1" x14ac:dyDescent="0.2">
      <c r="A994" s="136"/>
      <c r="H994" s="137"/>
      <c r="I994" s="137"/>
      <c r="K994" s="137"/>
      <c r="L994" s="9"/>
    </row>
    <row r="995" spans="1:12" ht="12" customHeight="1" x14ac:dyDescent="0.2">
      <c r="A995" s="136"/>
      <c r="H995" s="137"/>
      <c r="I995" s="137"/>
      <c r="K995" s="137"/>
      <c r="L995" s="9"/>
    </row>
    <row r="996" spans="1:12" ht="12" customHeight="1" x14ac:dyDescent="0.2">
      <c r="A996" s="136"/>
      <c r="H996" s="137"/>
      <c r="I996" s="137"/>
      <c r="K996" s="137"/>
      <c r="L996" s="9"/>
    </row>
    <row r="997" spans="1:12" ht="12" customHeight="1" x14ac:dyDescent="0.2">
      <c r="A997" s="136"/>
      <c r="H997" s="137"/>
      <c r="I997" s="137"/>
      <c r="K997" s="137"/>
      <c r="L997" s="9"/>
    </row>
    <row r="998" spans="1:12" ht="12" customHeight="1" x14ac:dyDescent="0.2">
      <c r="A998" s="136"/>
      <c r="H998" s="137"/>
      <c r="I998" s="137"/>
      <c r="K998" s="137"/>
      <c r="L998" s="9"/>
    </row>
    <row r="999" spans="1:12" ht="12" customHeight="1" x14ac:dyDescent="0.2">
      <c r="A999" s="136"/>
      <c r="H999" s="137"/>
      <c r="I999" s="137"/>
      <c r="K999" s="137"/>
      <c r="L999" s="9"/>
    </row>
    <row r="1000" spans="1:12" ht="12" customHeight="1" x14ac:dyDescent="0.2">
      <c r="A1000" s="136"/>
      <c r="H1000" s="137"/>
      <c r="I1000" s="137"/>
      <c r="K1000" s="137"/>
      <c r="L1000" s="9"/>
    </row>
    <row r="1001" spans="1:12" ht="12" customHeight="1" x14ac:dyDescent="0.2">
      <c r="A1001" s="136"/>
      <c r="H1001" s="137"/>
      <c r="I1001" s="137"/>
      <c r="K1001" s="137"/>
      <c r="L1001" s="9"/>
    </row>
  </sheetData>
  <mergeCells count="54">
    <mergeCell ref="A2:J2"/>
    <mergeCell ref="B3:J3"/>
    <mergeCell ref="B33:H33"/>
    <mergeCell ref="B37:H37"/>
    <mergeCell ref="B39:J39"/>
    <mergeCell ref="B40:H40"/>
    <mergeCell ref="B41:H41"/>
    <mergeCell ref="B52:H52"/>
    <mergeCell ref="B65:H65"/>
    <mergeCell ref="B78:H78"/>
    <mergeCell ref="B81:H81"/>
    <mergeCell ref="B86:H86"/>
    <mergeCell ref="B87:H87"/>
    <mergeCell ref="B99:H99"/>
    <mergeCell ref="B109:H109"/>
    <mergeCell ref="B113:H113"/>
    <mergeCell ref="B120:H120"/>
    <mergeCell ref="B121:H121"/>
    <mergeCell ref="B126:H126"/>
    <mergeCell ref="B138:H138"/>
    <mergeCell ref="B149:H149"/>
    <mergeCell ref="B159:H159"/>
    <mergeCell ref="B172:H172"/>
    <mergeCell ref="B185:H185"/>
    <mergeCell ref="B198:H198"/>
    <mergeCell ref="B201:H201"/>
    <mergeCell ref="B206:H206"/>
    <mergeCell ref="B210:H210"/>
    <mergeCell ref="B212:H212"/>
    <mergeCell ref="B214:H214"/>
    <mergeCell ref="B219:J219"/>
    <mergeCell ref="B220:H220"/>
    <mergeCell ref="B224:H224"/>
    <mergeCell ref="B228:H228"/>
    <mergeCell ref="B249:H249"/>
    <mergeCell ref="B250:H250"/>
    <mergeCell ref="B253:H253"/>
    <mergeCell ref="B256:H256"/>
    <mergeCell ref="B261:H261"/>
    <mergeCell ref="B263:H263"/>
    <mergeCell ref="B266:H266"/>
    <mergeCell ref="B270:J270"/>
    <mergeCell ref="B333:H333"/>
    <mergeCell ref="B344:H344"/>
    <mergeCell ref="B348:H348"/>
    <mergeCell ref="B357:H357"/>
    <mergeCell ref="A361:H361"/>
    <mergeCell ref="B271:H271"/>
    <mergeCell ref="B285:H285"/>
    <mergeCell ref="B296:H296"/>
    <mergeCell ref="B307:H307"/>
    <mergeCell ref="B315:H315"/>
    <mergeCell ref="B322:J322"/>
    <mergeCell ref="B323:H323"/>
  </mergeCells>
  <conditionalFormatting sqref="H5:H22 H420:I1001">
    <cfRule type="cellIs" dxfId="21" priority="7" operator="lessThan">
      <formula>0</formula>
    </cfRule>
    <cfRule type="cellIs" dxfId="20" priority="8" operator="greaterThan">
      <formula>0</formula>
    </cfRule>
  </conditionalFormatting>
  <conditionalFormatting sqref="H24:H38">
    <cfRule type="cellIs" dxfId="19" priority="9" operator="lessThan">
      <formula>0</formula>
    </cfRule>
    <cfRule type="cellIs" dxfId="18" priority="10" operator="greaterThan">
      <formula>0</formula>
    </cfRule>
  </conditionalFormatting>
  <conditionalFormatting sqref="H40:H218 K40:K218">
    <cfRule type="cellIs" dxfId="17" priority="11" operator="lessThan">
      <formula>0</formula>
    </cfRule>
    <cfRule type="cellIs" dxfId="16" priority="12" operator="greaterThan">
      <formula>0</formula>
    </cfRule>
  </conditionalFormatting>
  <conditionalFormatting sqref="H220:H269">
    <cfRule type="cellIs" dxfId="15" priority="13" operator="lessThan">
      <formula>0</formula>
    </cfRule>
    <cfRule type="cellIs" dxfId="14" priority="14" operator="greaterThan">
      <formula>0</formula>
    </cfRule>
  </conditionalFormatting>
  <conditionalFormatting sqref="H271:H321">
    <cfRule type="cellIs" dxfId="13" priority="15" operator="lessThan">
      <formula>0</formula>
    </cfRule>
    <cfRule type="cellIs" dxfId="12" priority="16" operator="greaterThan">
      <formula>0</formula>
    </cfRule>
  </conditionalFormatting>
  <conditionalFormatting sqref="H323:H419">
    <cfRule type="cellIs" dxfId="11" priority="3" operator="lessThan">
      <formula>0</formula>
    </cfRule>
    <cfRule type="cellIs" dxfId="10" priority="4" operator="greaterThan">
      <formula>0</formula>
    </cfRule>
  </conditionalFormatting>
  <conditionalFormatting sqref="K5:K22">
    <cfRule type="cellIs" dxfId="9" priority="19" operator="lessThan">
      <formula>0</formula>
    </cfRule>
    <cfRule type="cellIs" dxfId="8" priority="20" operator="greaterThan">
      <formula>0</formula>
    </cfRule>
  </conditionalFormatting>
  <conditionalFormatting sqref="K24:K38">
    <cfRule type="cellIs" dxfId="7" priority="21" operator="lessThan">
      <formula>0</formula>
    </cfRule>
    <cfRule type="cellIs" dxfId="6" priority="22" operator="greaterThan">
      <formula>0</formula>
    </cfRule>
  </conditionalFormatting>
  <conditionalFormatting sqref="K220:K269">
    <cfRule type="cellIs" dxfId="5" priority="23" operator="lessThan">
      <formula>0</formula>
    </cfRule>
    <cfRule type="cellIs" dxfId="4" priority="24" operator="greaterThan">
      <formula>0</formula>
    </cfRule>
  </conditionalFormatting>
  <conditionalFormatting sqref="K271:K321">
    <cfRule type="cellIs" dxfId="3" priority="25" operator="lessThan">
      <formula>0</formula>
    </cfRule>
    <cfRule type="cellIs" dxfId="2" priority="26" operator="greaterThan">
      <formula>0</formula>
    </cfRule>
  </conditionalFormatting>
  <conditionalFormatting sqref="K323:K100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4803149606299213" right="0.31496062992125984" top="1.5354330708661419" bottom="1.2598425196850394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Tarifado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IDIEM</dc:creator>
  <cp:lastModifiedBy>Diego Roman</cp:lastModifiedBy>
  <cp:lastPrinted>2025-04-15T22:39:57Z</cp:lastPrinted>
  <dcterms:created xsi:type="dcterms:W3CDTF">1999-09-15T20:11:50Z</dcterms:created>
  <dcterms:modified xsi:type="dcterms:W3CDTF">2026-09-02T13:43:57Z</dcterms:modified>
</cp:coreProperties>
</file>