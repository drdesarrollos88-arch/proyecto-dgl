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slg_presupuesto_de_laboratorio\PRESUPUESTO DE LABORATORIO\2026\"/>
    </mc:Choice>
  </mc:AlternateContent>
  <xr:revisionPtr revIDLastSave="0" documentId="13_ncr:1_{DA3786F9-D2C3-44CB-AF4A-9834D912E4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" sheetId="4" r:id="rId1"/>
  </sheets>
  <externalReferences>
    <externalReference r:id="rId2"/>
  </externalReferences>
  <definedNames>
    <definedName name="_xlnm.Print_Area" localSheetId="0">PRESUPUESTO!$B$1:$M$138</definedName>
    <definedName name="GG">#REF!</definedName>
    <definedName name="TAX">#REF!</definedName>
    <definedName name="UF">#REF!</definedName>
    <definedName name="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3" i="4" l="1"/>
  <c r="Q63" i="4" s="1"/>
  <c r="R63" i="4" s="1"/>
  <c r="P62" i="4"/>
  <c r="Q62" i="4" s="1"/>
  <c r="R62" i="4" s="1"/>
  <c r="P61" i="4"/>
  <c r="J61" i="4"/>
  <c r="J63" i="4"/>
  <c r="J62" i="4"/>
  <c r="I63" i="4"/>
  <c r="H63" i="4"/>
  <c r="G63" i="4"/>
  <c r="D63" i="4"/>
  <c r="I62" i="4"/>
  <c r="H62" i="4"/>
  <c r="G62" i="4"/>
  <c r="D62" i="4"/>
  <c r="I61" i="4"/>
  <c r="H61" i="4"/>
  <c r="G61" i="4"/>
  <c r="D61" i="4"/>
  <c r="L63" i="4" l="1"/>
  <c r="L62" i="4"/>
  <c r="P64" i="4"/>
  <c r="Q61" i="4"/>
  <c r="R61" i="4" s="1"/>
  <c r="L61" i="4" l="1"/>
  <c r="L64" i="4" s="1"/>
  <c r="G8" i="4" l="1"/>
  <c r="AC59" i="4" l="1"/>
  <c r="AC58" i="4" l="1"/>
</calcChain>
</file>

<file path=xl/sharedStrings.xml><?xml version="1.0" encoding="utf-8"?>
<sst xmlns="http://schemas.openxmlformats.org/spreadsheetml/2006/main" count="55" uniqueCount="48">
  <si>
    <t>:</t>
  </si>
  <si>
    <t xml:space="preserve">Atención                       </t>
  </si>
  <si>
    <t xml:space="preserve">N° Teléfono Móvil        </t>
  </si>
  <si>
    <t xml:space="preserve">E-Mail                             </t>
  </si>
  <si>
    <t xml:space="preserve">Referencia                      </t>
  </si>
  <si>
    <t>De nuestra consideración:</t>
  </si>
  <si>
    <t>Adjunto a la presente, presupuesto solicitado por ensayos de la referencia</t>
  </si>
  <si>
    <t xml:space="preserve">Quedando atento a aclarar cualquier consulta relacionada con la presente información, </t>
  </si>
  <si>
    <t>Saluda atentamente a Ud.,</t>
  </si>
  <si>
    <t>PRESUPUESTO ENSAYOS DE  LABORATORIO</t>
  </si>
  <si>
    <t>CODIGO ENSAYO</t>
  </si>
  <si>
    <t>Item</t>
  </si>
  <si>
    <t>Designación</t>
  </si>
  <si>
    <t xml:space="preserve">Norma o Proced. </t>
  </si>
  <si>
    <t>Cantidad Mín.
Material 
(kg)</t>
  </si>
  <si>
    <t>Unidad</t>
  </si>
  <si>
    <t>_</t>
  </si>
  <si>
    <t>---</t>
  </si>
  <si>
    <t>1.2</t>
  </si>
  <si>
    <t>1.1</t>
  </si>
  <si>
    <t xml:space="preserve">Nombre Obra/Proyecto </t>
  </si>
  <si>
    <t>Cantidad Ensayos Estimada</t>
  </si>
  <si>
    <t>1.2.1</t>
  </si>
  <si>
    <t>1.2.2</t>
  </si>
  <si>
    <t>Valores de ensayos de laboratorio</t>
  </si>
  <si>
    <t>Observaciones de ensayos de Geotécnia</t>
  </si>
  <si>
    <t>Los plazos de entrega de informes dependerán de cada tipo de ensayo, los cuales serán confirmados por el laboratorio al momento de su recepción.</t>
  </si>
  <si>
    <t>Total Ensayos</t>
  </si>
  <si>
    <t>Ensayos Geotécnicos</t>
  </si>
  <si>
    <r>
      <t xml:space="preserve">El laboratorio tiene la capacidad y recursos para realizar las actividades?                   </t>
    </r>
    <r>
      <rPr>
        <b/>
        <sz val="11"/>
        <rFont val="Calibri"/>
        <family val="2"/>
      </rPr>
      <t xml:space="preserve">SI  </t>
    </r>
    <r>
      <rPr>
        <sz val="11"/>
        <rFont val="Calibri"/>
        <family val="2"/>
      </rPr>
      <t xml:space="preserve">                                      </t>
    </r>
    <r>
      <rPr>
        <b/>
        <sz val="11"/>
        <rFont val="Calibri"/>
        <family val="2"/>
      </rPr>
      <t>NO</t>
    </r>
  </si>
  <si>
    <t>Analista Comercial</t>
  </si>
  <si>
    <t>Presente</t>
  </si>
  <si>
    <t>1.1.1</t>
  </si>
  <si>
    <t>Señores</t>
  </si>
  <si>
    <t>1.1.2</t>
  </si>
  <si>
    <t>1.1.3</t>
  </si>
  <si>
    <t>Valor UF</t>
  </si>
  <si>
    <t>Valor Dólar</t>
  </si>
  <si>
    <t>Precio
Unitario
(UF)</t>
  </si>
  <si>
    <t>Sub Total    
(UF)</t>
  </si>
  <si>
    <t>Diego Román Araneda</t>
  </si>
  <si>
    <t>PCM/DRA</t>
  </si>
  <si>
    <t>1.2.3</t>
  </si>
  <si>
    <t>La presente propuesta esta generada a carácter informativo. La determinación de ensayo y sus cantidades dependerá de la estimación del cliente, a lo cual, la propuesta deberá ser ajustada a dicho detalle de ensayo.</t>
  </si>
  <si>
    <t>(*) Los ensayos realizados bajo esta normativa no cuentan con acreditación bajo el alcance LE304</t>
  </si>
  <si>
    <t>PR.DGL.CCCC.2026.XXXX</t>
  </si>
  <si>
    <t>RAZON SOCIAL</t>
  </si>
  <si>
    <t>Rut: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</si>
</sst>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[$-F800]dddd\,\ mmmm\ dd\,\ yyyy"/>
    <numFmt numFmtId="165" formatCode="_-[$$-409]* #,##0.00_ ;_-[$$-409]* \-#,##0.00\ ;_-[$$-409]* &quot;-&quot;??_ ;_-@_ "/>
    <numFmt numFmtId="166" formatCode="#,##0.00_ ;\-#,##0.00\ "/>
  </numFmts>
  <fonts count="3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4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70C0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2"/>
      <name val="Calibri"/>
      <family val="2"/>
    </font>
    <font>
      <u/>
      <sz val="10"/>
      <color theme="10"/>
      <name val="Arial"/>
      <family val="2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sz val="8"/>
      <name val="Arial"/>
      <family val="2"/>
    </font>
    <font>
      <b/>
      <u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42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164" fontId="9" fillId="0" borderId="0" xfId="0" applyNumberFormat="1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justify"/>
    </xf>
    <xf numFmtId="0" fontId="10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horizontal="justify"/>
    </xf>
    <xf numFmtId="0" fontId="14" fillId="0" borderId="1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5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3" fontId="5" fillId="0" borderId="0" xfId="4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3" fontId="5" fillId="0" borderId="0" xfId="4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justify"/>
    </xf>
    <xf numFmtId="0" fontId="6" fillId="0" borderId="0" xfId="0" applyFont="1" applyAlignment="1">
      <alignment horizontal="justify" vertical="center"/>
    </xf>
    <xf numFmtId="0" fontId="11" fillId="0" borderId="0" xfId="0" applyFont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42" fontId="5" fillId="0" borderId="0" xfId="2" applyFont="1" applyAlignment="1">
      <alignment horizontal="center" vertical="center"/>
    </xf>
    <xf numFmtId="0" fontId="29" fillId="0" borderId="19" xfId="0" applyFont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0" fontId="18" fillId="6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7" xfId="0" applyFont="1" applyBorder="1"/>
    <xf numFmtId="0" fontId="5" fillId="0" borderId="18" xfId="0" applyFont="1" applyBorder="1"/>
    <xf numFmtId="0" fontId="21" fillId="0" borderId="0" xfId="0" applyFont="1"/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/>
    <xf numFmtId="0" fontId="5" fillId="0" borderId="25" xfId="0" applyFont="1" applyBorder="1"/>
    <xf numFmtId="0" fontId="13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5" fillId="0" borderId="22" xfId="0" applyFont="1" applyBorder="1"/>
    <xf numFmtId="0" fontId="9" fillId="0" borderId="2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2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22" xfId="0" applyFont="1" applyBorder="1" applyAlignment="1">
      <alignment horizontal="left"/>
    </xf>
    <xf numFmtId="0" fontId="9" fillId="0" borderId="21" xfId="0" applyFont="1" applyBorder="1"/>
    <xf numFmtId="0" fontId="17" fillId="0" borderId="0" xfId="0" applyFont="1"/>
    <xf numFmtId="0" fontId="23" fillId="0" borderId="21" xfId="0" applyFont="1" applyBorder="1"/>
    <xf numFmtId="0" fontId="9" fillId="0" borderId="0" xfId="0" applyFont="1" applyAlignment="1">
      <alignment horizontal="center"/>
    </xf>
    <xf numFmtId="0" fontId="9" fillId="0" borderId="21" xfId="0" applyFont="1" applyBorder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22" fillId="0" borderId="21" xfId="0" applyFont="1" applyBorder="1" applyAlignment="1">
      <alignment horizontal="justify" vertical="top"/>
    </xf>
    <xf numFmtId="0" fontId="9" fillId="0" borderId="0" xfId="0" applyFont="1" applyAlignment="1">
      <alignment horizontal="justify" vertical="top"/>
    </xf>
    <xf numFmtId="0" fontId="9" fillId="0" borderId="0" xfId="0" applyFont="1" applyAlignment="1">
      <alignment horizontal="center" vertical="top"/>
    </xf>
    <xf numFmtId="0" fontId="23" fillId="0" borderId="21" xfId="0" applyFont="1" applyBorder="1" applyAlignment="1">
      <alignment horizontal="justify" vertical="top"/>
    </xf>
    <xf numFmtId="0" fontId="23" fillId="0" borderId="0" xfId="0" applyFont="1" applyAlignment="1">
      <alignment horizontal="justify" vertical="top"/>
    </xf>
    <xf numFmtId="0" fontId="9" fillId="0" borderId="21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22" xfId="0" applyFont="1" applyBorder="1" applyAlignment="1">
      <alignment horizontal="left" vertical="top"/>
    </xf>
    <xf numFmtId="0" fontId="24" fillId="0" borderId="0" xfId="0" applyFont="1" applyAlignment="1">
      <alignment vertical="top"/>
    </xf>
    <xf numFmtId="0" fontId="24" fillId="0" borderId="22" xfId="0" applyFont="1" applyBorder="1" applyAlignment="1">
      <alignment vertical="top"/>
    </xf>
    <xf numFmtId="0" fontId="5" fillId="0" borderId="22" xfId="0" applyFont="1" applyBorder="1" applyAlignment="1">
      <alignment horizontal="justify" vertical="top"/>
    </xf>
    <xf numFmtId="0" fontId="5" fillId="0" borderId="2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22" fillId="0" borderId="21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22" xfId="0" applyFont="1" applyBorder="1" applyAlignment="1">
      <alignment horizontal="left" vertical="top"/>
    </xf>
    <xf numFmtId="0" fontId="26" fillId="0" borderId="21" xfId="0" applyFont="1" applyBorder="1" applyAlignment="1">
      <alignment horizontal="left" vertical="top"/>
    </xf>
    <xf numFmtId="0" fontId="5" fillId="0" borderId="22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27" fillId="0" borderId="0" xfId="3" quotePrefix="1" applyAlignment="1" applyProtection="1">
      <alignment vertical="center"/>
    </xf>
    <xf numFmtId="0" fontId="7" fillId="0" borderId="0" xfId="0" applyFont="1" applyAlignment="1">
      <alignment horizontal="center"/>
    </xf>
    <xf numFmtId="0" fontId="31" fillId="0" borderId="0" xfId="0" applyFont="1" applyAlignment="1">
      <alignment horizontal="justify"/>
    </xf>
    <xf numFmtId="0" fontId="17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2" fontId="5" fillId="0" borderId="0" xfId="0" applyNumberFormat="1" applyFont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2" fontId="17" fillId="0" borderId="12" xfId="0" applyNumberFormat="1" applyFont="1" applyBorder="1" applyAlignment="1">
      <alignment horizontal="center" vertical="center" wrapText="1"/>
    </xf>
    <xf numFmtId="4" fontId="11" fillId="4" borderId="16" xfId="0" quotePrefix="1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justify"/>
    </xf>
    <xf numFmtId="0" fontId="5" fillId="0" borderId="1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7" xfId="0" applyFont="1" applyBorder="1" applyAlignment="1">
      <alignment horizontal="left" vertical="center" wrapText="1"/>
    </xf>
    <xf numFmtId="0" fontId="11" fillId="4" borderId="13" xfId="0" applyFont="1" applyFill="1" applyBorder="1" applyAlignment="1">
      <alignment horizontal="right" vertical="center" wrapText="1"/>
    </xf>
    <xf numFmtId="0" fontId="11" fillId="4" borderId="14" xfId="0" applyFont="1" applyFill="1" applyBorder="1" applyAlignment="1">
      <alignment horizontal="right" vertical="center" wrapText="1"/>
    </xf>
    <xf numFmtId="0" fontId="11" fillId="4" borderId="15" xfId="0" applyFont="1" applyFill="1" applyBorder="1" applyAlignment="1">
      <alignment horizontal="righ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8" fillId="6" borderId="12" xfId="0" applyFont="1" applyFill="1" applyBorder="1" applyAlignment="1">
      <alignment horizontal="left" vertical="center" wrapText="1"/>
    </xf>
    <xf numFmtId="0" fontId="28" fillId="6" borderId="11" xfId="0" applyFont="1" applyFill="1" applyBorder="1" applyAlignment="1">
      <alignment horizontal="left" vertical="center" wrapText="1"/>
    </xf>
    <xf numFmtId="0" fontId="28" fillId="6" borderId="1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1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top"/>
    </xf>
    <xf numFmtId="164" fontId="6" fillId="0" borderId="0" xfId="0" applyNumberFormat="1" applyFont="1" applyAlignment="1">
      <alignment horizontal="right"/>
    </xf>
    <xf numFmtId="0" fontId="6" fillId="0" borderId="0" xfId="0" quotePrefix="1" applyFont="1" applyAlignment="1">
      <alignment horizontal="left" wrapText="1"/>
    </xf>
  </cellXfs>
  <cellStyles count="7">
    <cellStyle name="Hipervínculo" xfId="3" builtinId="8"/>
    <cellStyle name="Millares" xfId="4" builtinId="3"/>
    <cellStyle name="Millares [0] 2" xfId="6" xr:uid="{00000000-0005-0000-0000-000002000000}"/>
    <cellStyle name="Moneda [0]" xfId="2" builtinId="7"/>
    <cellStyle name="Normal" xfId="0" builtinId="0"/>
    <cellStyle name="Normal 2" xfId="1" xr:uid="{00000000-0005-0000-0000-000005000000}"/>
    <cellStyle name="Normal 3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2" name="Picture 1" descr="idiemlogo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2133189</xdr:colOff>
      <xdr:row>68</xdr:row>
      <xdr:rowOff>52642</xdr:rowOff>
    </xdr:from>
    <xdr:to>
      <xdr:col>6</xdr:col>
      <xdr:colOff>2258787</xdr:colOff>
      <xdr:row>68</xdr:row>
      <xdr:rowOff>172357</xdr:rowOff>
    </xdr:to>
    <xdr:sp macro="" textlink="">
      <xdr:nvSpPr>
        <xdr:cNvPr id="6" name="1 Rectángul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149689" y="28700213"/>
          <a:ext cx="125598" cy="119715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s-CL"/>
        </a:p>
      </xdr:txBody>
    </xdr:sp>
    <xdr:clientData/>
  </xdr:twoCellAnchor>
  <xdr:twoCellAnchor>
    <xdr:from>
      <xdr:col>6</xdr:col>
      <xdr:colOff>816897</xdr:colOff>
      <xdr:row>68</xdr:row>
      <xdr:rowOff>45623</xdr:rowOff>
    </xdr:from>
    <xdr:to>
      <xdr:col>6</xdr:col>
      <xdr:colOff>914097</xdr:colOff>
      <xdr:row>68</xdr:row>
      <xdr:rowOff>142823</xdr:rowOff>
    </xdr:to>
    <xdr:sp macro="" textlink="">
      <xdr:nvSpPr>
        <xdr:cNvPr id="7" name="1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369847" y="43451048"/>
          <a:ext cx="97200" cy="97200"/>
        </a:xfrm>
        <a:prstGeom prst="rect">
          <a:avLst/>
        </a:prstGeom>
        <a:solidFill>
          <a:schemeClr val="tx1"/>
        </a:solidFill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es-CL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69</xdr:row>
          <xdr:rowOff>171450</xdr:rowOff>
        </xdr:from>
        <xdr:to>
          <xdr:col>11</xdr:col>
          <xdr:colOff>790575</xdr:colOff>
          <xdr:row>136</xdr:row>
          <xdr:rowOff>114301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/TARIFADO%202023%20r1%20revPCM%2027-08.xlsx" TargetMode="External"/><Relationship Id="rId2" Type="http://schemas.openxmlformats.org/officeDocument/2006/relationships/externalLinkPath" Target="file:///G:\Unidades%20compartidas\slg_presupuesto_de_laboratorio\PRESUPUESTO%20DE%20LABORATORIO\2023\TARIFADO%202023%20r1%20revPCM%2027-08.xlsx" TargetMode="External"/><Relationship Id="rId1" Type="http://schemas.openxmlformats.org/officeDocument/2006/relationships/externalLinkPath" Target="/Unidades%20compartidas/slg_presupuesto_de_laboratorio/PRESUPUESTO%20DE%20LABORATORIO/2023/TARIFADO%202023%20r1%20revPCM%2027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rifado 2023"/>
    </sheetNames>
    <sheetDataSet>
      <sheetData sheetId="0">
        <row r="4">
          <cell r="A4" t="str">
            <v>I.1</v>
          </cell>
          <cell r="B4" t="str">
            <v>Caracterización de suelos</v>
          </cell>
          <cell r="C4"/>
          <cell r="D4"/>
          <cell r="E4"/>
          <cell r="F4"/>
        </row>
        <row r="5">
          <cell r="A5">
            <v>1</v>
          </cell>
          <cell r="B5" t="str">
            <v>Clasificación USCS completa (bajo 3").
Incluye:
- Granulometría (hasta malla 200)
- Límites de Atterberg
- Peso Específico (bajo N° 4)</v>
          </cell>
          <cell r="C5" t="str">
            <v>Ensayo acreditado bajo INN LE-304 según norma:
*ASTM D2487-17
*ASTM D422-63
8.102.1 (MC-V8 Diciembre 2003) 
ASTM D4318 17e105 / NCh 1517/1. y 2.Of79
ASTM D854-14 / NCh 1532.Of80</v>
          </cell>
          <cell r="D5">
            <v>30</v>
          </cell>
          <cell r="E5" t="str">
            <v>c/u</v>
          </cell>
          <cell r="F5">
            <v>2.61</v>
          </cell>
        </row>
        <row r="6">
          <cell r="A6">
            <v>2</v>
          </cell>
          <cell r="B6" t="str">
            <v>Granulometría (bajo 3" hasta malla 200)</v>
          </cell>
          <cell r="C6" t="str">
            <v>Ensayo acreditado bajo INN LE-304 según norma:
8.102.1 (MC-V8 Diciembre 2003)
*ASTM D422-63</v>
          </cell>
          <cell r="D6">
            <v>30</v>
          </cell>
          <cell r="E6" t="str">
            <v>c/u</v>
          </cell>
          <cell r="F6">
            <v>1.58</v>
          </cell>
        </row>
        <row r="7">
          <cell r="A7">
            <v>3</v>
          </cell>
          <cell r="B7" t="str">
            <v>Índice de Plasticidad</v>
          </cell>
          <cell r="C7" t="str">
            <v>Ensayo acreditado bajo INN LE-304 según norma:
ASTM D4318-17e105 / NCh 1517/1. y 2.Of79</v>
          </cell>
          <cell r="D7">
            <v>2</v>
          </cell>
          <cell r="E7" t="str">
            <v>c/u</v>
          </cell>
          <cell r="F7">
            <v>0.82</v>
          </cell>
        </row>
        <row r="8">
          <cell r="A8">
            <v>4</v>
          </cell>
          <cell r="B8" t="str">
            <v>Peso Específico Bajo Nº 4</v>
          </cell>
          <cell r="C8" t="str">
            <v>Ensayo acreditado bajo INN LE-304 según norma:
ASTM D854-14 / NCh 1532.Of80 / *ASTM D854-23</v>
          </cell>
          <cell r="D8">
            <v>2</v>
          </cell>
          <cell r="E8" t="str">
            <v>c/u</v>
          </cell>
          <cell r="F8">
            <v>0.81</v>
          </cell>
        </row>
        <row r="9">
          <cell r="A9">
            <v>5</v>
          </cell>
          <cell r="B9" t="str">
            <v>Peso Específico Sobre Nº 4</v>
          </cell>
          <cell r="C9" t="str">
            <v>Ensayo acreditado bajo INN LE-304 según norma:
ASTM C127-15 / NCh 1532.Of80</v>
          </cell>
          <cell r="D9">
            <v>80</v>
          </cell>
          <cell r="E9" t="str">
            <v>c/u</v>
          </cell>
          <cell r="F9">
            <v>1.44</v>
          </cell>
        </row>
        <row r="10">
          <cell r="A10">
            <v>6</v>
          </cell>
          <cell r="B10" t="str">
            <v>Contenido de Humedad</v>
          </cell>
          <cell r="C10" t="str">
            <v>Ensayo acreditado bajo INN LE-304 según norma:
ASTM D2216-19 / NCh 1515.Of79</v>
          </cell>
          <cell r="D10">
            <v>2</v>
          </cell>
          <cell r="E10" t="str">
            <v>c/u</v>
          </cell>
          <cell r="F10">
            <v>0.28999999999999998</v>
          </cell>
        </row>
        <row r="11">
          <cell r="A11">
            <v>7</v>
          </cell>
          <cell r="B11" t="str">
            <v>Clasificación USCS o AASTHO (se debe contar con ensayo Granulometria/Limetes de Atterberg/Peso Especifico)</v>
          </cell>
          <cell r="C11" t="str">
            <v>ASTM D2487-17</v>
          </cell>
          <cell r="D11" t="str">
            <v>---</v>
          </cell>
          <cell r="E11" t="str">
            <v>c/u</v>
          </cell>
          <cell r="F11">
            <v>0.45</v>
          </cell>
        </row>
        <row r="12">
          <cell r="A12">
            <v>8</v>
          </cell>
          <cell r="B12" t="str">
            <v>Análisis Hidrométrico, (BOYOUCOS). 
Se requieren los ensayos de granulometría y peso específico.</v>
          </cell>
          <cell r="C12" t="str">
            <v>ASTM D422-63 (2007)e2</v>
          </cell>
          <cell r="D12">
            <v>2</v>
          </cell>
          <cell r="E12" t="str">
            <v>c/u</v>
          </cell>
          <cell r="F12">
            <v>2.91</v>
          </cell>
        </row>
        <row r="13">
          <cell r="A13">
            <v>9</v>
          </cell>
          <cell r="B13" t="str">
            <v>Resistividad Eléctrica (Probetas Cilíndricas), material hasta 3/4 pulgada.</v>
          </cell>
          <cell r="C13" t="str">
            <v>Basado en ASTM G187-23</v>
          </cell>
          <cell r="D13">
            <v>5</v>
          </cell>
          <cell r="E13" t="str">
            <v>c/probeta</v>
          </cell>
          <cell r="F13">
            <v>6.91</v>
          </cell>
        </row>
        <row r="14">
          <cell r="A14">
            <v>10</v>
          </cell>
          <cell r="B14" t="str">
            <v>Límite de Contracción (considera hasta 14 días de trabajo)</v>
          </cell>
          <cell r="C14" t="str">
            <v>NCh 1517/3.Of79</v>
          </cell>
          <cell r="D14">
            <v>2</v>
          </cell>
          <cell r="E14" t="str">
            <v>c/u</v>
          </cell>
          <cell r="F14">
            <v>2</v>
          </cell>
        </row>
        <row r="15">
          <cell r="A15">
            <v>11</v>
          </cell>
          <cell r="B15" t="str">
            <v>Peso Unitario (considera muestra inalterada). 
Tamaño mínimo recomendado  de la muestra: 10x10x10 cm.</v>
          </cell>
          <cell r="C15" t="str">
            <v>ASTM D7263-21</v>
          </cell>
          <cell r="D15" t="str">
            <v>Muestra de 10x10x10 cm.</v>
          </cell>
          <cell r="E15" t="str">
            <v>c/u</v>
          </cell>
          <cell r="F15">
            <v>0.76</v>
          </cell>
        </row>
        <row r="16">
          <cell r="A16">
            <v>12</v>
          </cell>
          <cell r="B16" t="str">
            <v>Densidad Máxima y Mínima</v>
          </cell>
          <cell r="C16" t="str">
            <v>Ensayo acreditado bajo INN LE-304 según norma:
ASTM D4253-16e1
ASTM D4254-16e1</v>
          </cell>
          <cell r="D16">
            <v>60</v>
          </cell>
          <cell r="E16" t="str">
            <v>c/u</v>
          </cell>
          <cell r="F16">
            <v>2.2999999999999998</v>
          </cell>
        </row>
        <row r="17">
          <cell r="A17">
            <v>13</v>
          </cell>
          <cell r="B17" t="str">
            <v>Proctor Modificado</v>
          </cell>
          <cell r="C17" t="str">
            <v>Ensayo Acreditado bajo INN LE-304 según norma: 
ASTM D1557-12e1
NCh 1534/2 Of79 / *Nch 1534/2 2008</v>
          </cell>
          <cell r="D17">
            <v>40</v>
          </cell>
          <cell r="E17" t="str">
            <v>c/u</v>
          </cell>
          <cell r="F17">
            <v>1.94</v>
          </cell>
        </row>
        <row r="18">
          <cell r="A18">
            <v>14</v>
          </cell>
          <cell r="B18" t="str">
            <v>Proctor Estandar</v>
          </cell>
          <cell r="C18" t="str">
            <v>Ensayo acreditado bajo INN LE-304 según norma:
ASTM D698-12e2</v>
          </cell>
          <cell r="D18">
            <v>40</v>
          </cell>
          <cell r="E18" t="str">
            <v>c/u</v>
          </cell>
          <cell r="F18">
            <v>1.77</v>
          </cell>
        </row>
        <row r="19">
          <cell r="A19">
            <v>15</v>
          </cell>
          <cell r="B19" t="str">
            <v>Capacidad de Soporte Ensaye CBR</v>
          </cell>
          <cell r="C19" t="str">
            <v xml:space="preserve">Ensayo acreditado bajo INN LE-304 según norma:
ASTM D1883-16 / NCh 1852.Of81 / *ASTM D1883-21 </v>
          </cell>
          <cell r="D19">
            <v>40</v>
          </cell>
          <cell r="E19" t="str">
            <v>c/u</v>
          </cell>
          <cell r="F19">
            <v>2.59</v>
          </cell>
        </row>
        <row r="20">
          <cell r="A20">
            <v>16</v>
          </cell>
          <cell r="B20" t="str">
            <v>Determinación de Pesos Húmedo y Contenido de Humedad en muestra de Densidad (cono de arena).</v>
          </cell>
          <cell r="C20" t="str">
            <v>Proced. Interno</v>
          </cell>
          <cell r="D20" t="str">
            <v>---</v>
          </cell>
          <cell r="E20" t="str">
            <v>c/u</v>
          </cell>
          <cell r="F20">
            <v>0.63</v>
          </cell>
        </row>
        <row r="21">
          <cell r="A21">
            <v>17</v>
          </cell>
          <cell r="B21" t="str">
            <v>Densidad Máxima y Mínima Japonesa</v>
          </cell>
          <cell r="C21" t="str">
            <v>Basado en JSF E 161 – 1988</v>
          </cell>
          <cell r="D21" t="str">
            <v>---</v>
          </cell>
          <cell r="E21" t="str">
            <v>c/u</v>
          </cell>
          <cell r="F21">
            <v>1.76</v>
          </cell>
        </row>
        <row r="22">
          <cell r="A22">
            <v>18</v>
          </cell>
          <cell r="B22" t="str">
            <v>Ensayo de sedimentación (Jar Settling) (relaves)</v>
          </cell>
          <cell r="C22" t="str">
            <v>Metodología KCB</v>
          </cell>
          <cell r="D22" t="str">
            <v>---</v>
          </cell>
          <cell r="E22" t="str">
            <v>c/u</v>
          </cell>
          <cell r="F22">
            <v>9.1</v>
          </cell>
        </row>
        <row r="23">
          <cell r="A23" t="str">
            <v>I.2</v>
          </cell>
          <cell r="B23" t="str">
            <v>Macrogranulometrías</v>
          </cell>
          <cell r="C23"/>
          <cell r="D23"/>
          <cell r="E23"/>
          <cell r="F23"/>
        </row>
        <row r="24">
          <cell r="A24">
            <v>19</v>
          </cell>
          <cell r="B24" t="str">
            <v>Macrogranulometría en laboratorio - Máximo 100 kg de muestra.
Nota: No considera lavado de muestra</v>
          </cell>
          <cell r="C24" t="str">
            <v>Proc. Interno</v>
          </cell>
          <cell r="D24">
            <v>100</v>
          </cell>
          <cell r="E24" t="str">
            <v>c/u</v>
          </cell>
          <cell r="F24">
            <v>3.5</v>
          </cell>
        </row>
        <row r="25">
          <cell r="A25">
            <v>20</v>
          </cell>
          <cell r="B25" t="str">
            <v>Macrogranulometría en laboratorio - Máximo 200 kg de muestra.
Nota: No considera lavado de muestra</v>
          </cell>
          <cell r="C25" t="str">
            <v>Proc. Interno</v>
          </cell>
          <cell r="D25">
            <v>200</v>
          </cell>
          <cell r="E25" t="str">
            <v>c/u</v>
          </cell>
          <cell r="F25">
            <v>6</v>
          </cell>
        </row>
        <row r="26">
          <cell r="A26">
            <v>21</v>
          </cell>
          <cell r="B26" t="str">
            <v>Macrogranulometría en laboratorio - Máximo 1 ton. de muestra.
Nota: No considera lavado de muestra</v>
          </cell>
          <cell r="C26" t="str">
            <v>Proc. Interno</v>
          </cell>
          <cell r="D26">
            <v>1000</v>
          </cell>
          <cell r="E26" t="str">
            <v>c/u</v>
          </cell>
          <cell r="F26">
            <v>40</v>
          </cell>
        </row>
        <row r="27">
          <cell r="A27">
            <v>22</v>
          </cell>
          <cell r="B27" t="str">
            <v>Macrogranulometría en laboratorio a muestra con contenido de ácido- Máximo 100 kg de muestra.
Nota: Cliente debe proporcionar ficha técnica de seguridad</v>
          </cell>
          <cell r="C27" t="str">
            <v>Proc. Interno</v>
          </cell>
          <cell r="D27">
            <v>100</v>
          </cell>
          <cell r="E27" t="str">
            <v>c/u</v>
          </cell>
          <cell r="F27">
            <v>10</v>
          </cell>
        </row>
        <row r="28">
          <cell r="A28">
            <v>23</v>
          </cell>
          <cell r="B28" t="str">
            <v>Macrogranulometría en laboratorio a muestra con contenido de ácido- Máximo 200 kg de muestra.
Nota: Cliente debe proporcionar ficha técnica de seguridad</v>
          </cell>
          <cell r="C28" t="str">
            <v>Proc. Interno</v>
          </cell>
          <cell r="D28">
            <v>200</v>
          </cell>
          <cell r="E28" t="str">
            <v>c/u</v>
          </cell>
          <cell r="F28">
            <v>14</v>
          </cell>
        </row>
        <row r="29">
          <cell r="A29">
            <v>24</v>
          </cell>
          <cell r="B29" t="str">
            <v>Macrogranulometría en laboratorio a muestra con contenido de ácido- Máximo 1 ton de muestra.
Nota: Cliente debe proporcionar ficha técnica de seguridad</v>
          </cell>
          <cell r="C29" t="str">
            <v>Proc. Interno</v>
          </cell>
          <cell r="D29">
            <v>1000</v>
          </cell>
          <cell r="E29" t="str">
            <v>c/u</v>
          </cell>
          <cell r="F29">
            <v>60</v>
          </cell>
        </row>
        <row r="30">
          <cell r="A30">
            <v>25</v>
          </cell>
          <cell r="B30" t="str">
            <v xml:space="preserve">Macrogranulometría en laboratorio con lavado de muestra previo al ensayo
Máximo 100 kg de muestra.                                        </v>
          </cell>
          <cell r="C30" t="str">
            <v>Proc. Interno</v>
          </cell>
          <cell r="D30">
            <v>100</v>
          </cell>
          <cell r="E30" t="str">
            <v>c/u</v>
          </cell>
          <cell r="F30">
            <v>10</v>
          </cell>
        </row>
        <row r="31">
          <cell r="A31">
            <v>26</v>
          </cell>
          <cell r="B31" t="str">
            <v xml:space="preserve">Macrogranulometría en laboratorio con lavado de muestra previo al ensayo
Máximo 200 kg de muestra.                                        </v>
          </cell>
          <cell r="C31" t="str">
            <v>Proc. Interno</v>
          </cell>
          <cell r="D31">
            <v>200</v>
          </cell>
          <cell r="E31" t="str">
            <v>c/u</v>
          </cell>
          <cell r="F31">
            <v>14</v>
          </cell>
        </row>
        <row r="32">
          <cell r="A32">
            <v>27</v>
          </cell>
          <cell r="B32" t="str">
            <v xml:space="preserve">Macrogranulometría en laboratorio con lavado de muestra previo al ensayo
Máximo 1 ton. de muestra.                                        </v>
          </cell>
          <cell r="C32" t="str">
            <v>Proc. Interno</v>
          </cell>
          <cell r="D32">
            <v>1000</v>
          </cell>
          <cell r="E32" t="str">
            <v>c/u</v>
          </cell>
          <cell r="F32">
            <v>60</v>
          </cell>
        </row>
        <row r="33">
          <cell r="A33" t="str">
            <v>I.3</v>
          </cell>
          <cell r="B33" t="str">
            <v>PREPARACIÓN ESPECIAL DE MUESTRAS</v>
          </cell>
          <cell r="C33"/>
          <cell r="D33"/>
          <cell r="E33"/>
          <cell r="F33"/>
        </row>
        <row r="34">
          <cell r="A34">
            <v>28</v>
          </cell>
          <cell r="B34" t="str">
            <v xml:space="preserve">Preparación y Montaje muestras Slurry 
Considera Montaje Probetas Triaxial 5x10 cm y/o Consolidación edométrica convencional diámetro 5cm. </v>
          </cell>
          <cell r="C34" t="str">
            <v>Proced. Interno</v>
          </cell>
          <cell r="D34" t="str">
            <v>---</v>
          </cell>
          <cell r="E34" t="str">
            <v>c/u</v>
          </cell>
          <cell r="F34">
            <v>3.82</v>
          </cell>
        </row>
        <row r="35">
          <cell r="A35">
            <v>29</v>
          </cell>
          <cell r="B35" t="str">
            <v>Preparación de muestra natural para ensayos especiales para muestras inalteradas</v>
          </cell>
          <cell r="C35" t="str">
            <v>Proced. Interno</v>
          </cell>
          <cell r="D35" t="str">
            <v>---</v>
          </cell>
          <cell r="E35" t="str">
            <v>c/probeta</v>
          </cell>
          <cell r="F35">
            <v>4</v>
          </cell>
        </row>
        <row r="36">
          <cell r="A36">
            <v>30</v>
          </cell>
          <cell r="B36" t="str">
            <v>Preparación de muestra natural para ensayos especiales para muestras shelby</v>
          </cell>
          <cell r="C36" t="str">
            <v>Proced. Interno</v>
          </cell>
          <cell r="D36" t="str">
            <v>---</v>
          </cell>
          <cell r="E36" t="str">
            <v>c/muestra</v>
          </cell>
          <cell r="F36">
            <v>4</v>
          </cell>
        </row>
        <row r="37">
          <cell r="A37" t="str">
            <v>I.4</v>
          </cell>
          <cell r="B37" t="str">
            <v>Adicional Muestras con Ácido</v>
          </cell>
          <cell r="C37"/>
          <cell r="D37"/>
          <cell r="E37"/>
          <cell r="F37"/>
        </row>
        <row r="38">
          <cell r="A38">
            <v>31</v>
          </cell>
          <cell r="B38" t="str">
            <v>Ensayo de muestra con ácido (PH &lt;6) ensayos triaxiales, consolidaciones y/o permeabilidad probeta
Se considera cobro adicional asociado a: 
- Manejo de residuos peligrosos
- Limpieza y mantención de equipos, para efitar efectos por ácido. 
Considera ensayos:
- Triaxiales CIU, CID y UU, serie triaxial.
- Permeabilidades Pared Flexible
- Consolidaciones
- Ensayos básicos
- Ensayos de rocas
*Sujeto a revisión de ficha de seguridad provista por el cliente</v>
          </cell>
          <cell r="C38" t="str">
            <v>---</v>
          </cell>
          <cell r="D38">
            <v>20</v>
          </cell>
          <cell r="E38" t="str">
            <v>c/probeta</v>
          </cell>
          <cell r="F38">
            <v>3.1228500000000006</v>
          </cell>
        </row>
        <row r="39">
          <cell r="A39" t="str">
            <v>II</v>
          </cell>
          <cell r="B39" t="str">
            <v>ENSAYOS ESPECIALES</v>
          </cell>
          <cell r="C39"/>
          <cell r="D39"/>
          <cell r="E39"/>
          <cell r="F39"/>
        </row>
        <row r="40">
          <cell r="A40" t="str">
            <v>II.1</v>
          </cell>
          <cell r="B40" t="str">
            <v>ENSAYOS DE PERMEABILIDAD</v>
          </cell>
          <cell r="C40"/>
          <cell r="D40"/>
          <cell r="E40"/>
          <cell r="F40"/>
        </row>
        <row r="41">
          <cell r="A41" t="str">
            <v>II.1.1</v>
          </cell>
          <cell r="B41" t="str">
            <v>Ensayos de Permeabilidad de pared rígida</v>
          </cell>
          <cell r="C41"/>
          <cell r="D41"/>
          <cell r="E41"/>
          <cell r="F41"/>
        </row>
        <row r="42">
          <cell r="A42">
            <v>32</v>
          </cell>
          <cell r="B42" t="str">
            <v>Permeabilidad pared rígida, carga variable, molde de 15 cm de diámetro.
Tamaño máximo de partícula: 3/4 pulgada (máx. 5 días hábiles de ejecución).</v>
          </cell>
          <cell r="C42" t="str">
            <v>Basado en ASTM D2434-22</v>
          </cell>
          <cell r="D42">
            <v>10</v>
          </cell>
          <cell r="E42" t="str">
            <v>c/probeta</v>
          </cell>
          <cell r="F42">
            <v>5.9187000000000003</v>
          </cell>
        </row>
        <row r="43">
          <cell r="A43">
            <v>33</v>
          </cell>
          <cell r="B43" t="str">
            <v>Día adicional para permeabilidad de pared rígida, carga variable, molde de 15 cm de diámetro.</v>
          </cell>
          <cell r="C43" t="str">
            <v>Basado en ASTM D2434-22</v>
          </cell>
          <cell r="D43" t="str">
            <v>---</v>
          </cell>
          <cell r="E43" t="str">
            <v>día</v>
          </cell>
          <cell r="F43">
            <v>0.88290000000000013</v>
          </cell>
        </row>
        <row r="44">
          <cell r="A44">
            <v>34</v>
          </cell>
          <cell r="B44" t="str">
            <v>Permeabilidad pared rígida, carga constante, molde de 15 cm de diámetro.
Tamaño máximo de partícula: 3/4 pulgada (máx. 5 días hábiles de ejecución).</v>
          </cell>
          <cell r="C44" t="str">
            <v>Basado en ASTM D2434-22</v>
          </cell>
          <cell r="D44">
            <v>10</v>
          </cell>
          <cell r="E44" t="str">
            <v>c/probeta</v>
          </cell>
          <cell r="F44">
            <v>7.1504000000000003</v>
          </cell>
        </row>
        <row r="45">
          <cell r="A45">
            <v>35</v>
          </cell>
          <cell r="B45" t="str">
            <v>Día adicional para permeabilidad de pared rígida, carga constante, molde de 15 cm de diámetro.</v>
          </cell>
          <cell r="C45" t="str">
            <v>Basado en ASTM D2434-22</v>
          </cell>
          <cell r="D45" t="str">
            <v>---</v>
          </cell>
          <cell r="E45" t="str">
            <v>día</v>
          </cell>
          <cell r="F45">
            <v>1.1009</v>
          </cell>
        </row>
        <row r="46">
          <cell r="A46">
            <v>36</v>
          </cell>
          <cell r="B46" t="str">
            <v>Permeabilidad pared rígida, carga variable, molde 30 cm de diámetro.
Tamaño máximo de partícula: 2 pulgada (máx. 5 días hábiles de ejecución).</v>
          </cell>
          <cell r="C46" t="str">
            <v>Basado en ASTM D2434-22</v>
          </cell>
          <cell r="D46">
            <v>30</v>
          </cell>
          <cell r="E46" t="str">
            <v>c/probeta</v>
          </cell>
          <cell r="F46">
            <v>11.052600000000002</v>
          </cell>
        </row>
        <row r="47">
          <cell r="A47">
            <v>37</v>
          </cell>
          <cell r="B47" t="str">
            <v>Día adicional para permeabilidad de pared rígida, carga variable, molde de 30 cm de diámetro.</v>
          </cell>
          <cell r="C47" t="str">
            <v>Basado en ASTM D2434-22</v>
          </cell>
          <cell r="D47" t="str">
            <v>---</v>
          </cell>
          <cell r="E47" t="str">
            <v>día</v>
          </cell>
          <cell r="F47">
            <v>1.6350000000000002</v>
          </cell>
        </row>
        <row r="48">
          <cell r="A48">
            <v>38</v>
          </cell>
          <cell r="B48" t="str">
            <v>Permeabilidad pared rígida, carga constante, molde de 30 cm de diámetro.
Tamaño máximo de partícula: 2 pulgadas (máx. 5 días hábiles de ejecución).</v>
          </cell>
          <cell r="C48" t="str">
            <v>Basado en ASTM D2434-22</v>
          </cell>
          <cell r="D48">
            <v>30</v>
          </cell>
          <cell r="E48" t="str">
            <v>c/probeta</v>
          </cell>
          <cell r="F48">
            <v>13.396100000000001</v>
          </cell>
        </row>
        <row r="49">
          <cell r="A49">
            <v>39</v>
          </cell>
          <cell r="B49" t="str">
            <v>Día adicional para permeabilidad de pared rígida, carga constante, molde de 30 cm de diámetro.</v>
          </cell>
          <cell r="C49" t="str">
            <v>Basado en ASTM D2434-22</v>
          </cell>
          <cell r="D49" t="str">
            <v>---</v>
          </cell>
          <cell r="E49" t="str">
            <v>día</v>
          </cell>
          <cell r="F49">
            <v>2.0165000000000002</v>
          </cell>
        </row>
        <row r="50">
          <cell r="A50">
            <v>40</v>
          </cell>
          <cell r="B50" t="str">
            <v>Permeabilidad pared rígida, carga constante, molde de 30 cm de diámetro.  Solución Ácida (sujeto a evaluación técnica con ficha de seguridad de la solución).
Tamaño máximo de partícula: 2 pulgadas (máx. 5 días hábiles de ejecución).</v>
          </cell>
          <cell r="C50" t="str">
            <v>Basado en ASTM D2434-22</v>
          </cell>
          <cell r="D50">
            <v>30</v>
          </cell>
          <cell r="E50" t="str">
            <v>c/probeta</v>
          </cell>
          <cell r="F50">
            <v>17.821500000000004</v>
          </cell>
        </row>
        <row r="51">
          <cell r="A51">
            <v>41</v>
          </cell>
          <cell r="B51" t="str">
            <v>Día adicional para permeabilidad de pared rígida, carga constante, molde de 30 cm de diámetro. Solución ácida.</v>
          </cell>
          <cell r="C51" t="str">
            <v>Basado en ASTM D2434-22</v>
          </cell>
          <cell r="D51" t="str">
            <v>---</v>
          </cell>
          <cell r="E51" t="str">
            <v>día</v>
          </cell>
          <cell r="F51">
            <v>2.6814</v>
          </cell>
        </row>
        <row r="52">
          <cell r="A52" t="str">
            <v>II.1.2</v>
          </cell>
          <cell r="B52" t="str">
            <v>Ensayos de Permeabilidad de pared flexible</v>
          </cell>
          <cell r="C52"/>
          <cell r="D52"/>
          <cell r="E52"/>
          <cell r="F52"/>
        </row>
        <row r="53">
          <cell r="A53">
            <v>42</v>
          </cell>
          <cell r="B53" t="str">
            <v>Ensayo de Permeabilidad pared flexible (Equipo Triaxial), carga variable. Probeta 5 x 10 cm. Confinamiento hasta 6 kg/cm2.
Probeta tallada (muestra natural) o probeta remoldeada (muestra perturbada).
Tamaño máximo de partícula: malla N° 4 (máx. 5 días hábiles de ejecución).
Considera 01 confinamiento.</v>
          </cell>
          <cell r="C53" t="str">
            <v>Basado en ASTM D5084-24</v>
          </cell>
          <cell r="D53">
            <v>2</v>
          </cell>
          <cell r="E53" t="str">
            <v>c/probeta</v>
          </cell>
          <cell r="F53">
            <v>9.2323000000000004</v>
          </cell>
        </row>
        <row r="54">
          <cell r="A54">
            <v>43</v>
          </cell>
          <cell r="B54" t="str">
            <v>Día adicional para permeabilidad de pared flexible, carga variable, Probeta 5 x 10 cm.</v>
          </cell>
          <cell r="C54" t="str">
            <v>Basado en ASTM D5084-24</v>
          </cell>
          <cell r="D54" t="str">
            <v>---</v>
          </cell>
          <cell r="E54" t="str">
            <v>día</v>
          </cell>
          <cell r="F54">
            <v>1.3625</v>
          </cell>
        </row>
        <row r="55">
          <cell r="A55">
            <v>44</v>
          </cell>
          <cell r="B55" t="str">
            <v>Ensayo de Permeabilidad pared flexible (Equipo Triaxial), carga constante. Probeta 5 x 10 cm. Confinamiento hasta 6 kg/cm2.
Probeta tallada (muestra natural) o probeta remoldeada (muestra perturbada).
Tamaño máximo de partícula: malla N° 4 (máx. 5 días hábiles de ejecución).
Considera 01 confinamiento.</v>
          </cell>
          <cell r="C55" t="str">
            <v>Basado en ASTM D5084-24</v>
          </cell>
          <cell r="D55">
            <v>2</v>
          </cell>
          <cell r="E55" t="str">
            <v>c/probeta</v>
          </cell>
          <cell r="F55">
            <v>10.093400000000001</v>
          </cell>
        </row>
        <row r="56">
          <cell r="A56">
            <v>45</v>
          </cell>
          <cell r="B56" t="str">
            <v>Día adicional para permeabilidad de pared flexible, carga constante, Probeta 5 x 10 cm.</v>
          </cell>
          <cell r="C56" t="str">
            <v>Basado en ASTM D5084-24</v>
          </cell>
          <cell r="D56" t="str">
            <v>---</v>
          </cell>
          <cell r="E56" t="str">
            <v>día</v>
          </cell>
          <cell r="F56">
            <v>1.526</v>
          </cell>
        </row>
        <row r="57">
          <cell r="A57">
            <v>46</v>
          </cell>
          <cell r="B57" t="str">
            <v>Ensayo de Permeabilidad pared flexible (Equipo Triaxial), carga variable. Probeta 10 x 20 cm. Confinamiento hasta 6 kg/cm2.
Probeta tallada (muestra natural) o probeta remoldeada (muestra perturbada).
Tamaño máximo de partícula: 3/8 pulgada (máx. 5 días hábiles de ejecución).
Considera 01 confinamiento.</v>
          </cell>
          <cell r="C57" t="str">
            <v>Basado en ASTM D5084-24</v>
          </cell>
          <cell r="D57">
            <v>8</v>
          </cell>
          <cell r="E57" t="str">
            <v>c/probeta</v>
          </cell>
          <cell r="F57">
            <v>9.8317999999999994</v>
          </cell>
        </row>
        <row r="58">
          <cell r="A58">
            <v>47</v>
          </cell>
          <cell r="B58" t="str">
            <v>Día adicional para permeabilidad de pared flexible, carga variable, Probeta 10 x 20 cm.</v>
          </cell>
          <cell r="C58" t="str">
            <v>Basado en ASTM D5084-24</v>
          </cell>
          <cell r="D58" t="str">
            <v>---</v>
          </cell>
          <cell r="E58" t="str">
            <v>día</v>
          </cell>
          <cell r="F58">
            <v>1.4824000000000002</v>
          </cell>
        </row>
        <row r="59">
          <cell r="A59">
            <v>48</v>
          </cell>
          <cell r="B59" t="str">
            <v>Ensayo de Permeabilidad pared flexible (Equipo Triaxial), carga constante. Probeta 10 x 20 cm. Confinamiento hasta 6 kg/cm2.
Probeta tallada (muestra natural) o probeta remoldeada (muestra perturbada).
Tamaño máximo de partícula: 3/8 pulgada (máx. 5 días hábiles de ejecución).
Considera 01 confinamiento.</v>
          </cell>
          <cell r="C59" t="str">
            <v>Basado en ASTM D5084-24</v>
          </cell>
          <cell r="D59">
            <v>8</v>
          </cell>
          <cell r="E59" t="str">
            <v>c/probeta</v>
          </cell>
          <cell r="F59">
            <v>10.573</v>
          </cell>
        </row>
        <row r="60">
          <cell r="A60">
            <v>49</v>
          </cell>
          <cell r="B60" t="str">
            <v>Día adicional para permeabilidad de pared flexible, carga constante, Probeta 10 x 20 cm.</v>
          </cell>
          <cell r="C60" t="str">
            <v>Basado en ASTM D5084-24</v>
          </cell>
          <cell r="D60" t="str">
            <v>---</v>
          </cell>
          <cell r="E60" t="str">
            <v>día</v>
          </cell>
          <cell r="F60">
            <v>1.6241000000000001</v>
          </cell>
        </row>
        <row r="61">
          <cell r="A61">
            <v>50</v>
          </cell>
          <cell r="B61" t="str">
            <v>Ensayo de Permeabilidad pared flexible (Equipo Triaxial), carga variable. Probeta 15 x 30 cm. Confinamiento hasta 6 kg/cm2.
Probeta tallada (muestra natural) o probeta remoldeada (muestra perturbada).
Tamaño máximo de partícula: 1 pulgada (máx. 5 días hábiles de ejecución).
Considera 01 confinamiento.</v>
          </cell>
          <cell r="C61" t="str">
            <v>Basado en ASTM D5084-24</v>
          </cell>
          <cell r="D61">
            <v>20</v>
          </cell>
          <cell r="E61" t="str">
            <v>c/probeta</v>
          </cell>
          <cell r="F61">
            <v>14.518800000000001</v>
          </cell>
        </row>
        <row r="62">
          <cell r="A62">
            <v>51</v>
          </cell>
          <cell r="B62" t="str">
            <v>Día adicional para permeabilidad de pared flexible, carga variable, Probeta 15 x 30 cm.</v>
          </cell>
          <cell r="C62" t="str">
            <v>Basado en ASTM D5084-24</v>
          </cell>
          <cell r="D62" t="str">
            <v>---</v>
          </cell>
          <cell r="E62" t="str">
            <v>día</v>
          </cell>
          <cell r="F62">
            <v>2.1582000000000003</v>
          </cell>
        </row>
        <row r="63">
          <cell r="A63">
            <v>52</v>
          </cell>
          <cell r="B63" t="str">
            <v>Ensayo de Permeabilidad pared flexible (Equipo Triaxial), carga constante. Probeta 15 x 30 cm. Confinamiento hasta 6 kg/cm2.
Probeta tallada (muestra natural) o probeta remoldeada (muestra perturbada).
Tamaño máximo de partícula: 1 pulgada (máx. 5 días hábiles de ejecución).
Considera 01 confinamiento.</v>
          </cell>
          <cell r="C63" t="str">
            <v>Basado en ASTM D5084-24</v>
          </cell>
          <cell r="D63">
            <v>20</v>
          </cell>
          <cell r="E63" t="str">
            <v>c/probeta</v>
          </cell>
          <cell r="F63">
            <v>15.379900000000001</v>
          </cell>
        </row>
        <row r="64">
          <cell r="A64">
            <v>53</v>
          </cell>
          <cell r="B64" t="str">
            <v>Día adicional para permeabilidad de pared flexible, carga constante, Probeta 15 x 30 cm.</v>
          </cell>
          <cell r="C64" t="str">
            <v>Basado en ASTM D5084-24</v>
          </cell>
          <cell r="D64" t="str">
            <v>---</v>
          </cell>
          <cell r="E64" t="str">
            <v>día</v>
          </cell>
          <cell r="F64">
            <v>2.3108000000000004</v>
          </cell>
        </row>
        <row r="65">
          <cell r="A65" t="str">
            <v>II.1.3</v>
          </cell>
          <cell r="B65" t="str">
            <v>Ensayos de Permeabilidad de pared flexible Altas Presiones</v>
          </cell>
          <cell r="C65"/>
          <cell r="D65"/>
          <cell r="E65"/>
          <cell r="F65"/>
        </row>
        <row r="66">
          <cell r="A66">
            <v>54</v>
          </cell>
          <cell r="B66" t="str">
            <v>Ensayo de Permeabilidad pared flexible (Equipo Triaxial), carga variable. Probeta 5 x 10 cm. Confinamiento hasta 28 kg/cm2.
Probeta tallada (muestra natural) o probeta remoldeada (muestra perturbada).
Tamaño máximo de partícula: malla N° 4 (máx. 5 días hábiles de ejecución).
Considera 01 confinamiento.</v>
          </cell>
          <cell r="C66" t="str">
            <v>Basado en ASTM D5084-24</v>
          </cell>
          <cell r="D66">
            <v>2</v>
          </cell>
          <cell r="E66" t="str">
            <v>c/probeta</v>
          </cell>
          <cell r="F66">
            <v>16.41</v>
          </cell>
        </row>
        <row r="67">
          <cell r="A67">
            <v>55</v>
          </cell>
          <cell r="B67" t="str">
            <v>Día adicional para permeabilidad de pared flexible, carga variable, Probeta 5 x 10 cm.</v>
          </cell>
          <cell r="C67" t="str">
            <v>Basado en ASTM D5084-24</v>
          </cell>
          <cell r="D67" t="str">
            <v>---</v>
          </cell>
          <cell r="E67" t="str">
            <v>día</v>
          </cell>
          <cell r="F67">
            <v>2.4224001175088135</v>
          </cell>
        </row>
        <row r="68">
          <cell r="A68">
            <v>56</v>
          </cell>
          <cell r="B68" t="str">
            <v>Ensayo de Permeabilidad pared flexible (Equipo Triaxial), carga constante. Probeta 5 x 10 cm. Confinamiento hasta 28 kg/cm2.
Probeta tallada (muestra natural) o probeta remoldeada (muestra perturbada).
Tamaño máximo de partícula: malla N° 4 (máx. 5 días hábiles de ejecución).
Considera 01 confinamiento.</v>
          </cell>
          <cell r="C68" t="str">
            <v>Basado en ASTM D5084-24</v>
          </cell>
          <cell r="D68">
            <v>2</v>
          </cell>
          <cell r="E68" t="str">
            <v>c/probeta</v>
          </cell>
          <cell r="F68">
            <v>17.945140070505289</v>
          </cell>
        </row>
        <row r="69">
          <cell r="A69">
            <v>57</v>
          </cell>
          <cell r="B69" t="str">
            <v>Día adicional para permeabilidad de pared flexible, carga constante, Probeta 5 x 10 cm.</v>
          </cell>
          <cell r="C69" t="str">
            <v>Basado en ASTM D5084-24</v>
          </cell>
          <cell r="D69" t="str">
            <v>---</v>
          </cell>
          <cell r="E69" t="str">
            <v>día</v>
          </cell>
          <cell r="F69">
            <v>2.7130881316098705</v>
          </cell>
        </row>
        <row r="70">
          <cell r="A70">
            <v>58</v>
          </cell>
          <cell r="B70" t="str">
            <v>Ensayo de Permeabilidad pared flexible (Equipo Triaxial), carga variable. Probeta 10 x 20 cm. Confinamiento hasta 12 kg/cm2.
Probeta tallada (muestra natural) o probeta remoldeada (muestra perturbada).
Tamaño máximo de partícula: 3/8 pulgada (máx. 5 días hábiles de ejecución).
Considera 01 confinamiento.</v>
          </cell>
          <cell r="C70" t="str">
            <v>Basado en ASTM D5084-24</v>
          </cell>
          <cell r="D70">
            <v>8</v>
          </cell>
          <cell r="E70" t="str">
            <v>c/probeta</v>
          </cell>
          <cell r="F70">
            <v>17.475378670788253</v>
          </cell>
        </row>
        <row r="71">
          <cell r="A71">
            <v>59</v>
          </cell>
          <cell r="B71" t="str">
            <v>Día adicional para permeabilidad de pared flexible, carga variable, Probeta 10 x 20 cm.</v>
          </cell>
          <cell r="C71" t="str">
            <v>Basado en ASTM D5084-24</v>
          </cell>
          <cell r="D71" t="str">
            <v>---</v>
          </cell>
          <cell r="E71" t="str">
            <v>día</v>
          </cell>
          <cell r="F71">
            <v>2.6348686244204025</v>
          </cell>
        </row>
        <row r="72">
          <cell r="A72">
            <v>60</v>
          </cell>
          <cell r="B72" t="str">
            <v>Ensayo de Permeabilidad pared flexible (Equipo Triaxial), carga constante. Probeta 10 x 20 cm. Confinamiento hasta 12 kg/cm2.
Probeta tallada (muestra natural) o probeta remoldeada (muestra perturbada).
Tamaño máximo de partícula: 3/4 pulgada (máx. 5 días hábiles de ejecución).
Considera 01 confinamiento.</v>
          </cell>
          <cell r="C72" t="str">
            <v>Basado en ASTM D5084-24</v>
          </cell>
          <cell r="D72">
            <v>8</v>
          </cell>
          <cell r="E72" t="str">
            <v>c/probeta</v>
          </cell>
          <cell r="F72">
            <v>18.792812982998452</v>
          </cell>
        </row>
        <row r="73">
          <cell r="A73">
            <v>61</v>
          </cell>
          <cell r="B73" t="str">
            <v>Día adicional para permeabilidad de pared flexible, carga constante, Probeta 10 x 20 cm.</v>
          </cell>
          <cell r="C73" t="str">
            <v>Basado en ASTM D5084-24</v>
          </cell>
          <cell r="D73" t="str">
            <v>---</v>
          </cell>
          <cell r="E73" t="str">
            <v>día</v>
          </cell>
          <cell r="F73">
            <v>2.8867310664605874</v>
          </cell>
        </row>
        <row r="74">
          <cell r="A74">
            <v>62</v>
          </cell>
          <cell r="B74" t="str">
            <v>Ensayo de Permeabilidad pared flexible (Equipo Triaxial), carga variable. Probeta 15 x 30 cm. Confinamiento hasta 9 kg/cm2.
Probeta tallada (muestra natural) o probeta remoldeada (muestra perturbada).
Tamaño máximo de partícula: 1 pulgada (máx. 5 días hábiles de ejecución).
Considera 01 confinamiento.</v>
          </cell>
          <cell r="C74" t="str">
            <v>Basado en ASTM D5084-24</v>
          </cell>
          <cell r="D74">
            <v>20</v>
          </cell>
          <cell r="E74" t="str">
            <v>c/probeta</v>
          </cell>
          <cell r="F74">
            <v>26.050223874345555</v>
          </cell>
        </row>
        <row r="75">
          <cell r="A75">
            <v>63</v>
          </cell>
          <cell r="B75" t="str">
            <v xml:space="preserve"> v</v>
          </cell>
          <cell r="C75" t="str">
            <v>Basado en ASTM D5084-24</v>
          </cell>
          <cell r="D75" t="str">
            <v>---</v>
          </cell>
          <cell r="E75" t="str">
            <v>día</v>
          </cell>
          <cell r="F75">
            <v>3.8723305759162305</v>
          </cell>
        </row>
        <row r="76">
          <cell r="A76">
            <v>64</v>
          </cell>
          <cell r="B76" t="str">
            <v>Ensayo de Permeabilidad pared flexible (Equipo Triaxial), carga constante. Probeta 15 x 30 cm. Confinamiento hasta 9 kg/cm2.
Probeta tallada (muestra natural) o probeta remoldeada (muestra perturbada).
Tamaño máximo de partícula: 1 pulgada (máx. 5 días hábiles de ejecución).
Considera 01 confinamiento.</v>
          </cell>
          <cell r="C76" t="str">
            <v>Basado en ASTM D5084-24</v>
          </cell>
          <cell r="D76">
            <v>20</v>
          </cell>
          <cell r="E76" t="str">
            <v>c/probeta</v>
          </cell>
          <cell r="F76">
            <v>27.595244659685864</v>
          </cell>
        </row>
        <row r="77">
          <cell r="A77">
            <v>65</v>
          </cell>
          <cell r="B77" t="str">
            <v>Día adicional para permeabilidad de pared flexible, carga constante, en altas presiones .Probeta 15 x 30 cm.</v>
          </cell>
          <cell r="C77" t="str">
            <v>Basado en ASTM D5084-24</v>
          </cell>
          <cell r="D77" t="str">
            <v>---</v>
          </cell>
          <cell r="E77" t="str">
            <v>día</v>
          </cell>
          <cell r="F77">
            <v>4.1461317277486911</v>
          </cell>
        </row>
        <row r="78">
          <cell r="A78" t="str">
            <v>II.2</v>
          </cell>
          <cell r="B78" t="str">
            <v xml:space="preserve">ENSAYOS COMPRESION NO CONFINADA </v>
          </cell>
          <cell r="C78"/>
          <cell r="D78"/>
          <cell r="E78"/>
          <cell r="F78"/>
        </row>
        <row r="79">
          <cell r="A79">
            <v>66</v>
          </cell>
          <cell r="B79" t="str">
            <v>Compresión No Confinada, NATURAL (muestra inalterada o no perturbada) o REMOLDEADA (muestra alterada o perturbada). 
Probeta 5,0 x 10,0 cm. Material bajo malla N° 4.</v>
          </cell>
          <cell r="C79" t="str">
            <v>Ensayo acreditado bajo INN LE-304 según norma:
ASTM D2166/D2166M-16</v>
          </cell>
          <cell r="D79">
            <v>2</v>
          </cell>
          <cell r="E79" t="str">
            <v>c/probeta</v>
          </cell>
          <cell r="F79">
            <v>1.9620000000000002</v>
          </cell>
        </row>
        <row r="80">
          <cell r="A80">
            <v>67</v>
          </cell>
          <cell r="B80" t="str">
            <v>Compresión No Confinada NATURAL (muestra inalterada o no perturbada) o REMOLDEADA (muestra alterada o perturbada). 
Probeta 10,0 x 20,0 cm. Material bajo 3/4 pulgada.</v>
          </cell>
          <cell r="C80" t="str">
            <v>Ensayo acreditado bajo INN LE-304 según norma:
ASTM D2166/D2166M-16</v>
          </cell>
          <cell r="D80">
            <v>8</v>
          </cell>
          <cell r="E80" t="str">
            <v>c/probeta</v>
          </cell>
          <cell r="F80">
            <v>3.5425000000000004</v>
          </cell>
        </row>
        <row r="81">
          <cell r="A81" t="str">
            <v>II.3</v>
          </cell>
          <cell r="B81" t="str">
            <v>ENSAYOS DE CORTE DIRECTO</v>
          </cell>
          <cell r="C81"/>
          <cell r="D81"/>
          <cell r="E81"/>
          <cell r="F81"/>
        </row>
        <row r="82">
          <cell r="A82">
            <v>68</v>
          </cell>
          <cell r="B82" t="str">
            <v>Corte Directo en probeta de 5,0 x 5,0 cm. Cargas normales hasta 2,5 kg/cm2. 
Material bajo malla N° 4. Considera máximo 2 días de ejecución.
Nota: Se requiere serie de tres probetas/muestra.</v>
          </cell>
          <cell r="C82" t="str">
            <v>Ensayo acreditado bajo INN LE-304 según norma:
ASTM D3080/D3080M-11</v>
          </cell>
          <cell r="D82">
            <v>2</v>
          </cell>
          <cell r="E82" t="str">
            <v>c/probeta</v>
          </cell>
          <cell r="F82">
            <v>4.3708999999999998</v>
          </cell>
        </row>
        <row r="83">
          <cell r="A83">
            <v>69</v>
          </cell>
          <cell r="B83" t="str">
            <v>Día adicional para ensayo de Corte Directo en probeta de 5,0 x 5,0 cm.</v>
          </cell>
          <cell r="C83" t="str">
            <v>Ensayo acreditado bajo INN LE-304 según norma:
ASTM D3080/D3080M-11</v>
          </cell>
          <cell r="D83" t="str">
            <v>---</v>
          </cell>
          <cell r="E83" t="str">
            <v>c/probeta</v>
          </cell>
          <cell r="F83">
            <v>1.6350000000000002</v>
          </cell>
        </row>
        <row r="84">
          <cell r="A84">
            <v>70</v>
          </cell>
          <cell r="B84" t="str">
            <v>Corte Directo (probeta 30,0 x 30,0 cm), cargas normales hasta 6,0 Kg/cm2
Material bajo 1 pulgada. Considera máximo 1 día de ejecución.
Nota: Se requiere serie de tres probetas/muestra.</v>
          </cell>
          <cell r="C84" t="str">
            <v>Ensayo acreditado bajo INN LE-304 según norma:
ASTM D3080/D3080M-11</v>
          </cell>
          <cell r="D84">
            <v>40</v>
          </cell>
          <cell r="E84" t="str">
            <v>c/probeta</v>
          </cell>
          <cell r="F84">
            <v>19.478300000000001</v>
          </cell>
        </row>
        <row r="85">
          <cell r="A85">
            <v>71</v>
          </cell>
          <cell r="B85" t="str">
            <v>Día adicional para ensayo de Corte Directo en probeta de 30,0 x 30,0 cm</v>
          </cell>
          <cell r="C85" t="str">
            <v>Ensayo acreditado bajo INN LE-304 según norma:
ASTM D3080/D3080M-11</v>
          </cell>
          <cell r="D85" t="str">
            <v>---</v>
          </cell>
          <cell r="E85" t="str">
            <v>c/probeta</v>
          </cell>
          <cell r="F85">
            <v>7.3792999999999997</v>
          </cell>
        </row>
        <row r="86">
          <cell r="A86" t="str">
            <v>II.4</v>
          </cell>
          <cell r="B86" t="str">
            <v>ENSAYOS DE CONSOLIDACION</v>
          </cell>
          <cell r="C86"/>
          <cell r="D86"/>
          <cell r="E86"/>
          <cell r="F86"/>
        </row>
        <row r="87">
          <cell r="A87" t="str">
            <v>II.4.1</v>
          </cell>
          <cell r="B87" t="str">
            <v>Ensayos de consolidación convencional</v>
          </cell>
          <cell r="C87"/>
          <cell r="D87"/>
          <cell r="E87"/>
          <cell r="F87"/>
        </row>
        <row r="88">
          <cell r="A88">
            <v>72</v>
          </cell>
          <cell r="B88" t="str">
            <v>Consolidación (convencional hasta  4 kg/cm2 ), en molde de 5 cm de diámetro, material bajo malla #10. 
Consideraciones especiales:
1- Considera hasta 5 estados de carga y 3 de descarga.
2- Considera un tiempo máximo de ejecución de 15 días hábiles.</v>
          </cell>
          <cell r="C88" t="str">
            <v>Ensayo acreditado bajo INN LE-304 según norma:
ASTM D2435M-11 (2020)</v>
          </cell>
          <cell r="D88">
            <v>1</v>
          </cell>
          <cell r="E88" t="str">
            <v>c/u</v>
          </cell>
          <cell r="F88">
            <v>9.6356000000000002</v>
          </cell>
        </row>
        <row r="89">
          <cell r="A89">
            <v>73</v>
          </cell>
          <cell r="B89" t="str">
            <v>Consolidación (convencional hasta 8 kg/cm2), en molde de 5 cm de diámetro, material bajo malla #10. 
Consideraciones especiales:
1- Considera hasta 6 estados de carga y 4 de descarga.
2- Considera un tiempo máximo de ejecución de 15 días hábiles.</v>
          </cell>
          <cell r="C89" t="str">
            <v>Ensayo acreditado bajo INN LE-304 según norma:
ASTM D2435M-11 (2020)</v>
          </cell>
          <cell r="D89">
            <v>1</v>
          </cell>
          <cell r="E89" t="str">
            <v>c/u</v>
          </cell>
          <cell r="F89">
            <v>10.485799999999999</v>
          </cell>
        </row>
        <row r="90">
          <cell r="A90">
            <v>74</v>
          </cell>
          <cell r="B90" t="str">
            <v>Consolidación (convencional hasta 16 kg/cm2), en molde de 5 cm de diámetro, material bajo malla #10 .Consideraciones especiales:
1- Considera hasta 7 estados de carga y 5 de descarga.
2- Considera un tiempo máximo de ejecución de 15 días hábiles.</v>
          </cell>
          <cell r="C90" t="str">
            <v>Ensayo acreditado bajo INN LE-304 según norma:
ASTM D2435M-11 (2020)</v>
          </cell>
          <cell r="D90">
            <v>1</v>
          </cell>
          <cell r="E90" t="str">
            <v>c/u</v>
          </cell>
          <cell r="F90">
            <v>12.295199999999999</v>
          </cell>
        </row>
        <row r="91">
          <cell r="A91">
            <v>75</v>
          </cell>
          <cell r="B91" t="str">
            <v>Consolidación (convencional hasta 32 kg/cm2), en molde de 5 cm de diámetro, material bajo malla #10.
Consideraciones especiales:
1- Considera hasta 8 estados de carga y 6 de descarga.
2- Considera un tiempo máximo de ejecución de 15 días hábiles.</v>
          </cell>
          <cell r="C91" t="str">
            <v>Ensayo acreditado bajo INN LE-304 según norma:
ASTM D2435M-11 (2020)</v>
          </cell>
          <cell r="D91">
            <v>1</v>
          </cell>
          <cell r="E91" t="str">
            <v>c/u</v>
          </cell>
          <cell r="F91">
            <v>13.232600000000001</v>
          </cell>
        </row>
        <row r="92">
          <cell r="A92">
            <v>76</v>
          </cell>
          <cell r="B92" t="str">
            <v>Consolidación (convencional hasta 64 kg/cm2), en molde de 5 cm de diámetro, material bajo malla #10 .
Consideraciones especiales:
1- Considera hasta 9 estados de carga y 7 de descarga.
2- Considera un tiempo máximo de ejecución de 15 días hábiles.</v>
          </cell>
          <cell r="C92" t="str">
            <v>Ensayo acreditado bajo INN LE-304 según norma:
ASTM D2435M-11 (2020)</v>
          </cell>
          <cell r="D92">
            <v>1</v>
          </cell>
          <cell r="E92" t="str">
            <v>c/u</v>
          </cell>
          <cell r="F92">
            <v>15.412600000000001</v>
          </cell>
        </row>
        <row r="93">
          <cell r="A93">
            <v>77</v>
          </cell>
          <cell r="B93" t="str">
            <v>Consolidación Edométrica (hasta 10 kg/cm2), en molde de 15 cm de diámetro, material hasta 3/4 pulgada.
Consideraciones especiales:
1. Considera hasta 3 estados de carga vertical y 2 descargas.
2. Considera un tiempo máximo de ejecución de 15 días hábiles.</v>
          </cell>
          <cell r="C93" t="str">
            <v>Proced. Interno</v>
          </cell>
          <cell r="D93">
            <v>10</v>
          </cell>
          <cell r="E93" t="str">
            <v>c/u</v>
          </cell>
          <cell r="F93">
            <v>11.063500000000001</v>
          </cell>
        </row>
        <row r="94">
          <cell r="A94">
            <v>78</v>
          </cell>
          <cell r="B94" t="str">
            <v>Carga adicional para ensayos de consolidación 15 cm</v>
          </cell>
          <cell r="C94" t="str">
            <v>---</v>
          </cell>
          <cell r="D94" t="str">
            <v>---</v>
          </cell>
          <cell r="E94" t="str">
            <v>c/carga</v>
          </cell>
          <cell r="F94">
            <v>2.2127000000000003</v>
          </cell>
        </row>
        <row r="95">
          <cell r="A95">
            <v>79</v>
          </cell>
          <cell r="B95" t="str">
            <v>Día adicional al tiempo máximo de ejecución de ensayo de consolidación 15 cm</v>
          </cell>
          <cell r="C95" t="str">
            <v>---</v>
          </cell>
          <cell r="D95" t="str">
            <v>---</v>
          </cell>
          <cell r="E95" t="str">
            <v>c/día</v>
          </cell>
          <cell r="F95">
            <v>0.7375666666666667</v>
          </cell>
        </row>
        <row r="96">
          <cell r="A96" t="str">
            <v>78-1</v>
          </cell>
          <cell r="B96" t="str">
            <v>Consolidación Edométrica (hasta 10 kg/cm2), en molde de 20 cm de diámetro, material hasta 1 1/2 pulgada.
Consideraciones especiales:
1. Considera hasta 3 estados de carga vertical y 2 descargas.
2. Considera un tiempo máximo de ejecución de 15 días hábiles.</v>
          </cell>
          <cell r="C96" t="str">
            <v>Proced. Interno</v>
          </cell>
          <cell r="D96">
            <v>20</v>
          </cell>
          <cell r="E96" t="str">
            <v>c/u</v>
          </cell>
          <cell r="F96">
            <v>14.606000000000002</v>
          </cell>
        </row>
        <row r="97">
          <cell r="A97" t="str">
            <v>79-1</v>
          </cell>
          <cell r="B97" t="str">
            <v>Carga adicional para ensayos de consolidación 20 cm</v>
          </cell>
          <cell r="C97" t="str">
            <v>---</v>
          </cell>
          <cell r="D97" t="str">
            <v>---</v>
          </cell>
          <cell r="E97" t="str">
            <v>c/carga</v>
          </cell>
          <cell r="F97">
            <v>2.9212000000000002</v>
          </cell>
        </row>
        <row r="98">
          <cell r="A98">
            <v>80</v>
          </cell>
          <cell r="B98" t="str">
            <v>Día adicional al tiempo máximo de ejecución de ensayo de consolidación 20 cm</v>
          </cell>
          <cell r="C98" t="str">
            <v>---</v>
          </cell>
          <cell r="D98" t="str">
            <v>---</v>
          </cell>
          <cell r="E98" t="str">
            <v>c/día</v>
          </cell>
          <cell r="F98">
            <v>0.97373333333333345</v>
          </cell>
        </row>
        <row r="99">
          <cell r="A99" t="str">
            <v>II.4.1</v>
          </cell>
          <cell r="B99" t="str">
            <v>Ensayos de consolidación con medición de permeabilidad</v>
          </cell>
          <cell r="C99"/>
          <cell r="D99"/>
          <cell r="E99"/>
          <cell r="F99"/>
        </row>
        <row r="100">
          <cell r="A100">
            <v>81</v>
          </cell>
          <cell r="B100" t="str">
            <v>Consolidación Edométrica con medición de permeabilidad (hasta 10 kg/cm2), en molde de 15 cm de diámetro, material hasta 3/4 pulgada.
Consideraciones especiales:
1. Considera hasta 3 estados de carga vertical y 2 descargas.
2. Considera un tiempo máximo de ejecución de 15 días hábiles.</v>
          </cell>
          <cell r="C100" t="str">
            <v>Proced. Interno</v>
          </cell>
          <cell r="D100">
            <v>10</v>
          </cell>
          <cell r="E100" t="str">
            <v>c/u</v>
          </cell>
          <cell r="F100">
            <v>18.163499999999999</v>
          </cell>
        </row>
        <row r="101">
          <cell r="A101">
            <v>82</v>
          </cell>
          <cell r="B101" t="str">
            <v>Carga adicional para Ensayo de Consolidación Edométrica con medición de permeabilidad. 15 cm</v>
          </cell>
          <cell r="C101" t="str">
            <v>Proced. Interno</v>
          </cell>
          <cell r="D101" t="str">
            <v>---</v>
          </cell>
          <cell r="E101" t="str">
            <v>c/carga</v>
          </cell>
          <cell r="F101">
            <v>5.0857800000000006</v>
          </cell>
        </row>
        <row r="102">
          <cell r="A102">
            <v>83</v>
          </cell>
          <cell r="B102" t="str">
            <v>Día adicional al tiempo máximo de ejecución de ensayo de consolidación con medición de permeabilidad 15m</v>
          </cell>
          <cell r="C102" t="str">
            <v>---</v>
          </cell>
          <cell r="D102" t="str">
            <v>---</v>
          </cell>
          <cell r="E102" t="str">
            <v>c/día</v>
          </cell>
          <cell r="F102">
            <v>1.2108999999999999</v>
          </cell>
        </row>
        <row r="103">
          <cell r="A103">
            <v>84</v>
          </cell>
          <cell r="B103" t="str">
            <v>Consolidación Edométrica con medición de permeabilidad (hasta 10 kg/cm2), en molde de 20 cm de diámetro, material hasta 1 1/2 pulgada.
Consideraciones especiales:
1. Considera hasta 3 estados de carga vertical y 2 descargas.
2. Considera un tiempo máximo de ejecución de 15 días hábiles.
3. Considera medición de permeabilidad en cada carga.</v>
          </cell>
          <cell r="C103" t="str">
            <v>Proced. Interno</v>
          </cell>
          <cell r="D103">
            <v>20</v>
          </cell>
          <cell r="E103" t="str">
            <v>c/u</v>
          </cell>
          <cell r="F103">
            <v>21.708440000000003</v>
          </cell>
        </row>
        <row r="104">
          <cell r="A104">
            <v>85</v>
          </cell>
          <cell r="B104" t="str">
            <v>Carga adicional para Ensayo de Consolidación Edométrica con medición de permeabilidad.</v>
          </cell>
          <cell r="C104" t="str">
            <v>Proced. Interno</v>
          </cell>
          <cell r="D104" t="str">
            <v>---</v>
          </cell>
          <cell r="E104" t="str">
            <v>c/carga</v>
          </cell>
          <cell r="F104">
            <v>6.1040000000000001</v>
          </cell>
        </row>
        <row r="105">
          <cell r="A105">
            <v>86</v>
          </cell>
          <cell r="B105" t="str">
            <v>Día adicional al tiempo máximo de ejecución de ensayo de consolidación con medición de permeabilidad</v>
          </cell>
          <cell r="C105" t="str">
            <v>---</v>
          </cell>
          <cell r="D105" t="str">
            <v>---</v>
          </cell>
          <cell r="E105" t="str">
            <v>c/día</v>
          </cell>
          <cell r="F105">
            <v>1.4472293333333335</v>
          </cell>
        </row>
        <row r="106">
          <cell r="A106">
            <v>87</v>
          </cell>
          <cell r="B106" t="str">
            <v>Consolidación Edométrica con medición de permeabilidad con material saturado solución ácida (hasta 10 kg/cm2), en molde de 20 cm de diámetro, material hasta 1 1/2 pulgada.
Consideraciones especiales:
1. Considera hasta 3 estados de carga vertical y 2 descargas.
2. Considera un tiempo máximo de ejecución de 15 días hábiles.
3. Considera medición de permeabilidad en cada carga.</v>
          </cell>
          <cell r="C106" t="str">
            <v>Proced. Interno</v>
          </cell>
          <cell r="D106">
            <v>20</v>
          </cell>
          <cell r="E106" t="str">
            <v>c/probeta</v>
          </cell>
          <cell r="F106">
            <v>25.789400000000001</v>
          </cell>
        </row>
        <row r="107">
          <cell r="A107">
            <v>88</v>
          </cell>
          <cell r="B107" t="str">
            <v xml:space="preserve">Carga adicional para Ensayo de Consolidación Edométrica con medición de permeabilidad. Considera material saturado en solución ácida.   </v>
          </cell>
          <cell r="C107" t="str">
            <v>Proced. Interno</v>
          </cell>
          <cell r="D107" t="str">
            <v>---</v>
          </cell>
          <cell r="E107" t="str">
            <v>c/probeta</v>
          </cell>
          <cell r="F107">
            <v>8.7963000000000005</v>
          </cell>
        </row>
        <row r="108">
          <cell r="A108">
            <v>89</v>
          </cell>
          <cell r="B108" t="str">
            <v>Día adicional al tiempo máximo de ejecución de ensayo de consolidación con medición de permeabilidad. Considera material saturado en solución ácida.</v>
          </cell>
          <cell r="C108" t="str">
            <v>---</v>
          </cell>
          <cell r="D108" t="str">
            <v>---</v>
          </cell>
          <cell r="E108" t="str">
            <v>c/día</v>
          </cell>
          <cell r="F108">
            <v>1.7192933333333333</v>
          </cell>
        </row>
        <row r="109">
          <cell r="A109" t="str">
            <v>II.5</v>
          </cell>
          <cell r="B109" t="str">
            <v>ENSAYOS DE COLAPSO EN ODÓMETRO</v>
          </cell>
          <cell r="C109"/>
          <cell r="D109"/>
          <cell r="E109"/>
          <cell r="F109"/>
        </row>
        <row r="110">
          <cell r="A110">
            <v>90</v>
          </cell>
          <cell r="B110" t="str">
            <v xml:space="preserve">Colapso en odómetro (hasta 9 kg/cm2) molde de 20 cm de diámetro. Considera 5 cargas. (sólo en probeta remoldeada)
Consideraciones especiales:
1. Considera un tiempo máximo de ejecución de 15 días corridos. </v>
          </cell>
          <cell r="C110" t="str">
            <v>Basado en ASTM D4546-21</v>
          </cell>
          <cell r="D110">
            <v>20</v>
          </cell>
          <cell r="E110" t="str">
            <v>c/u</v>
          </cell>
          <cell r="F110">
            <v>17.527200000000001</v>
          </cell>
        </row>
        <row r="111">
          <cell r="A111">
            <v>91</v>
          </cell>
          <cell r="B111" t="str">
            <v xml:space="preserve">Colapso en odómetro (hasta 17 kg/cm2) molde de 5 cm o de 6 cm de diámetro. Considera 5 cargas.                                                                                                                                                            Consideraciones especiales:
1. Considera un tiempo máximo de ejecución de 15 días corridos. </v>
          </cell>
          <cell r="C111" t="str">
            <v>Basado en ASTM D4546-21</v>
          </cell>
          <cell r="D111">
            <v>2</v>
          </cell>
          <cell r="E111" t="str">
            <v>c/u</v>
          </cell>
          <cell r="F111">
            <v>15.990300000000001</v>
          </cell>
        </row>
        <row r="112">
          <cell r="A112">
            <v>92</v>
          </cell>
          <cell r="B112" t="str">
            <v>Día adicional al tiempo máximo de ejecución de ensayo de colapso en odómetro.</v>
          </cell>
          <cell r="C112" t="str">
            <v>---</v>
          </cell>
          <cell r="D112" t="str">
            <v>---</v>
          </cell>
          <cell r="E112" t="str">
            <v>c/día</v>
          </cell>
          <cell r="F112">
            <v>0.78</v>
          </cell>
        </row>
        <row r="113">
          <cell r="A113" t="str">
            <v>II.6</v>
          </cell>
          <cell r="B113" t="str">
            <v>ENSAYOS DE HINCHAMIENTO</v>
          </cell>
          <cell r="C113"/>
          <cell r="D113"/>
          <cell r="E113"/>
          <cell r="F113"/>
        </row>
        <row r="114">
          <cell r="A114">
            <v>93</v>
          </cell>
          <cell r="B114" t="str">
            <v>Hinchamiento Presión (LAMBE)</v>
          </cell>
          <cell r="C114" t="str">
            <v>Proced. Interno</v>
          </cell>
          <cell r="D114">
            <v>2</v>
          </cell>
          <cell r="E114" t="str">
            <v>c/u</v>
          </cell>
          <cell r="F114">
            <v>6.7362000000000002</v>
          </cell>
        </row>
        <row r="115">
          <cell r="A115">
            <v>94</v>
          </cell>
          <cell r="B115" t="str">
            <v>Presión de Hinchamiento. Material bajo malla Nº 10.(Considera 5 días hábiles para ejecución de ensayo)</v>
          </cell>
          <cell r="C115" t="str">
            <v>Basado en ASTM D4546-21</v>
          </cell>
          <cell r="D115">
            <v>2</v>
          </cell>
          <cell r="E115" t="str">
            <v>c/u</v>
          </cell>
          <cell r="F115">
            <v>6.6163000000000007</v>
          </cell>
        </row>
        <row r="116">
          <cell r="A116">
            <v>95</v>
          </cell>
          <cell r="B116" t="str">
            <v>Hinchamiento bajo carga / colapso</v>
          </cell>
          <cell r="C116" t="str">
            <v>Basado en ASTM D3877-08</v>
          </cell>
          <cell r="D116">
            <v>2</v>
          </cell>
          <cell r="E116" t="str">
            <v>c/u</v>
          </cell>
          <cell r="F116">
            <v>7.117700000000001</v>
          </cell>
        </row>
        <row r="117">
          <cell r="A117">
            <v>96</v>
          </cell>
          <cell r="B117" t="str">
            <v>Hinchamiento Libre. Material bajo malla Nº 10 (Considera un máximo de 5 días hábiles de ejecución de ensayo)</v>
          </cell>
          <cell r="C117" t="str">
            <v>Basado en ASTM D4546-21</v>
          </cell>
          <cell r="D117">
            <v>2</v>
          </cell>
          <cell r="E117" t="str">
            <v>c/u</v>
          </cell>
          <cell r="F117">
            <v>5.5808000000000009</v>
          </cell>
        </row>
        <row r="118">
          <cell r="A118">
            <v>97</v>
          </cell>
          <cell r="B118" t="str">
            <v>Confección de Anillo Especial diametro H o N, para ensayo de Presión de Hinchamiento  en roca intacta.</v>
          </cell>
          <cell r="C118" t="str">
            <v>Proced. Interno</v>
          </cell>
          <cell r="D118" t="str">
            <v>N/A</v>
          </cell>
          <cell r="E118" t="str">
            <v>c/u</v>
          </cell>
          <cell r="F118">
            <v>6.5400000000000009</v>
          </cell>
        </row>
        <row r="119">
          <cell r="A119">
            <v>98</v>
          </cell>
          <cell r="B119" t="str">
            <v>Día adicional de ensayo Hinchamiento Libre</v>
          </cell>
          <cell r="C119" t="str">
            <v>Basado en ASTM D4546-21</v>
          </cell>
          <cell r="D119" t="str">
            <v>N/A</v>
          </cell>
          <cell r="E119" t="str">
            <v>c/día</v>
          </cell>
          <cell r="F119">
            <v>0.84</v>
          </cell>
        </row>
        <row r="120">
          <cell r="A120" t="str">
            <v>II.7</v>
          </cell>
          <cell r="B120" t="str">
            <v>ENSAYOS TRIAXIALES</v>
          </cell>
          <cell r="C120"/>
          <cell r="D120"/>
          <cell r="E120"/>
          <cell r="F120"/>
        </row>
        <row r="121">
          <cell r="A121" t="str">
            <v>II.7.1</v>
          </cell>
          <cell r="B121" t="str">
            <v>Ensaye Triaxial UU (convencional).</v>
          </cell>
          <cell r="C121"/>
          <cell r="D121"/>
          <cell r="E121"/>
          <cell r="F121"/>
        </row>
        <row r="122">
          <cell r="A122">
            <v>99</v>
          </cell>
          <cell r="B122" t="str">
            <v>Ensaye Triaxial UU (convencional), probeta  3,6 x 7,2 cm (hasta 6 kg/cm2)
Probeta tallada (muestra natural) o probeta remoldeada (muestra perturbada).
Material bajo malla N° 10.
Nota: Se requiere serie de tres probetas/muestra.</v>
          </cell>
          <cell r="C122" t="str">
            <v>Basado en ASTM D2850-25</v>
          </cell>
          <cell r="D122">
            <v>1</v>
          </cell>
          <cell r="E122" t="str">
            <v>c/probeta</v>
          </cell>
          <cell r="F122">
            <v>7.194</v>
          </cell>
        </row>
        <row r="123">
          <cell r="A123">
            <v>100</v>
          </cell>
          <cell r="B123" t="str">
            <v>Ensaye Triaxial UU (convencional), probeta  5,0 x 10,0 cm (hasta 6 kg/cm2)
Probeta tallada (muestra natural) o probeta remoldeada (muestra perturbada).
Material bajo malla N° 4.
Nota: Se requiere serie de tres probetas/muestra.</v>
          </cell>
          <cell r="C123" t="str">
            <v>Basado en ASTM D2850-25</v>
          </cell>
          <cell r="D123">
            <v>2</v>
          </cell>
          <cell r="E123" t="str">
            <v>c/probeta</v>
          </cell>
          <cell r="F123">
            <v>7.194</v>
          </cell>
        </row>
        <row r="124">
          <cell r="A124">
            <v>101</v>
          </cell>
          <cell r="B124" t="str">
            <v>Ensaye Triaxial UU (convencional), probeta 10,0 x 20,0 cm (hasta 6 kg/cm2)
Probeta tallada (muestra natural) o probeta remoldeada (muestra perturbada).
Material bajo 3/8 pulgada.
Nota: Se requiere serie de tres probetas/muestra.</v>
          </cell>
          <cell r="C124" t="str">
            <v xml:space="preserve"> Basado en ASTM D2850-25</v>
          </cell>
          <cell r="D124">
            <v>8</v>
          </cell>
          <cell r="E124" t="str">
            <v>c/probeta</v>
          </cell>
          <cell r="F124">
            <v>10.224200000000002</v>
          </cell>
        </row>
        <row r="125">
          <cell r="A125">
            <v>102</v>
          </cell>
          <cell r="B125" t="str">
            <v>Ensaye Triaxial UU (convencional), probeta 15,0 x 30,0 cm (hasta 6 kg/cm2)
Probeta tallada (muestra natural) o probeta remoldeada (muestra perturbada).
Material bajo 1 pulgada.
Nota: Se requiere serie de tres probetas/muestra.</v>
          </cell>
          <cell r="C125" t="str">
            <v>Basado en ASTM D2850-25</v>
          </cell>
          <cell r="D125">
            <v>20</v>
          </cell>
          <cell r="E125" t="str">
            <v>c/probeta</v>
          </cell>
          <cell r="F125">
            <v>16.535299999999999</v>
          </cell>
        </row>
        <row r="126">
          <cell r="A126" t="str">
            <v>II.7.2</v>
          </cell>
          <cell r="B126" t="str">
            <v>Ensaye Triaxial CIU. (convencional)</v>
          </cell>
          <cell r="C126"/>
          <cell r="D126"/>
          <cell r="E126"/>
          <cell r="F126"/>
        </row>
        <row r="127">
          <cell r="A127">
            <v>103</v>
          </cell>
          <cell r="B127" t="str">
            <v>Ensaye Triaxial CIU (convencional), probeta  3,6 x 7,2 cm (hasta 6 kg/cm2)
Probeta tallada (muestra natural) o probeta remoldeada (muestra perturbada).
Material bajo malla N° 10.
Nota 1: Se requiere serie de tres probetas/muestra.
Nota 2: Tiempo de ejecución de ensayos considera 3 días hábiles (2 días de saturación y consolidación y 3ª día etapa de corte hasta máximo 4 horas).</v>
          </cell>
          <cell r="C127" t="str">
            <v>Basado en ASTM D4767-11 (2020)</v>
          </cell>
          <cell r="D127">
            <v>1</v>
          </cell>
          <cell r="E127" t="str">
            <v>c/probeta</v>
          </cell>
          <cell r="F127">
            <v>9.2759</v>
          </cell>
        </row>
        <row r="128">
          <cell r="A128">
            <v>104</v>
          </cell>
          <cell r="B128" t="str">
            <v>Ensaye Triaxial CIU (convencional), probeta  5,0 x 10,0 cm (hasta 6 kg/cm2)
Probeta tallada (muestra natural) o probeta remoldeada (muestra perturbada).
Material bajo malla N° 4.
Nota 1: Se requiere serie de tres probetas/muestra.
Nota 2: Tiempo de ejecución de ensayos considera 3 días hábiles (2 días de saturación y consolidación y 3ª día etapa de corte hasta máximo 4 horas).</v>
          </cell>
          <cell r="C128" t="str">
            <v>Basado en ASTM D4767-11 (2020)</v>
          </cell>
          <cell r="D128">
            <v>2</v>
          </cell>
          <cell r="E128" t="str">
            <v>c/probeta</v>
          </cell>
          <cell r="F128">
            <v>9.2759</v>
          </cell>
        </row>
        <row r="129">
          <cell r="A129">
            <v>105</v>
          </cell>
          <cell r="B129" t="str">
            <v>Ensaye Triaxial CIU (convencional), probeta 10,0 x 20,0 cm (hasta 6 kg/cm2)
Probeta tallada (muestra natural) o probeta remoldeada (muestra perturbada).
Material bajo 3/8 pulgada.
Nota 1: Se requiere serie de tres probetas/muestra.
Nota 2: Tiempo de ejecución de ensayos considera 3 días hábiles (2 días de saturación y consolidación y 3ª día etapa de corte hasta máximo 4 horas).</v>
          </cell>
          <cell r="C129" t="str">
            <v>Basado en ASTM D4767-11 (2020)</v>
          </cell>
          <cell r="D129">
            <v>8</v>
          </cell>
          <cell r="E129" t="str">
            <v>c/probeta</v>
          </cell>
          <cell r="F129">
            <v>14.104600000000001</v>
          </cell>
        </row>
        <row r="130">
          <cell r="A130">
            <v>106</v>
          </cell>
          <cell r="B130" t="str">
            <v>Ensaye Triaxial CIU (convencional), probeta 15,0 x 30,0 cm (hasta 6 kg/cm2)
Probeta tallada (muestra natural) o probeta remoldeada (muestra perturbada).
Material bajo 1  pulgada.
Nota 1: Se requiere serie de tres probetas/muestra.
Nota 2: Tiempo de ejecución de ensayos considera 3 días hábiles (2 días de saturación y consolidación y 3ª día etapa de corte hasta máximo 4 horas).</v>
          </cell>
          <cell r="C130" t="str">
            <v>Basado en ASTM D4767-11 (2020)</v>
          </cell>
          <cell r="D130">
            <v>20</v>
          </cell>
          <cell r="E130" t="str">
            <v>c/probeta</v>
          </cell>
          <cell r="F130">
            <v>20.819000000000003</v>
          </cell>
        </row>
        <row r="131">
          <cell r="A131">
            <v>107</v>
          </cell>
          <cell r="B131" t="str">
            <v>Ensaye Triaxial CIU (convencional), probeta  5,0 x 10,0 cm (hasta 6 kg/cm2), con determinación de índice de vacío final.
Material bajo malla N° 4.
Nota 1: Se requiere serie de tres probetas/muestra.
Nota 2: Tiempo de ejecución de ensayos considera 3 días hábiles (2 días de saturación y consolidación y 3ª día etapa de corte hasta máximo 4 horas).</v>
          </cell>
          <cell r="C131" t="str">
            <v>Basado en ASTM D4767-11 (2020)</v>
          </cell>
          <cell r="D131">
            <v>2</v>
          </cell>
          <cell r="E131" t="str">
            <v>c/probeta</v>
          </cell>
          <cell r="F131">
            <v>11.935499999999999</v>
          </cell>
        </row>
        <row r="132">
          <cell r="A132">
            <v>108</v>
          </cell>
          <cell r="B132" t="str">
            <v>Día adicional de saturación y/o consolidación para ensayo triaxial CIU en probeta 3,6 x 7,2 cm y 5,0 x 10,0 cm.</v>
          </cell>
          <cell r="C132" t="str">
            <v>Proced. Interno</v>
          </cell>
          <cell r="D132" t="str">
            <v>---</v>
          </cell>
          <cell r="E132" t="str">
            <v>c/día</v>
          </cell>
          <cell r="F132">
            <v>1.98</v>
          </cell>
        </row>
        <row r="133">
          <cell r="A133">
            <v>109</v>
          </cell>
          <cell r="B133" t="str">
            <v>Hora adicional etapa de corte para ensayo triaxial CIU en probeta 3,6 x 7,2 cm y 5,0 x 10,0 cm.</v>
          </cell>
          <cell r="C133" t="str">
            <v>Proced. Interno</v>
          </cell>
          <cell r="D133" t="str">
            <v>---</v>
          </cell>
          <cell r="E133" t="str">
            <v>c/hora</v>
          </cell>
          <cell r="F133">
            <v>0.53</v>
          </cell>
        </row>
        <row r="134">
          <cell r="A134">
            <v>110</v>
          </cell>
          <cell r="B134" t="str">
            <v>Día adicional de saturación y/o consolidación para ensayo triaxial CIU en probeta 10,0 x 20,0 cm.</v>
          </cell>
          <cell r="C134" t="str">
            <v>Proced. Interno</v>
          </cell>
          <cell r="D134" t="str">
            <v>---</v>
          </cell>
          <cell r="E134" t="str">
            <v>c/día</v>
          </cell>
          <cell r="F134">
            <v>3.05</v>
          </cell>
        </row>
        <row r="135">
          <cell r="A135">
            <v>111</v>
          </cell>
          <cell r="B135" t="str">
            <v>Hora adicional etapa de corte para ensayo triaxial CIU en probeta 10,0 x 20,0 cm.</v>
          </cell>
          <cell r="C135" t="str">
            <v>Proced. Interno</v>
          </cell>
          <cell r="D135" t="str">
            <v>---</v>
          </cell>
          <cell r="E135" t="str">
            <v>c/hora</v>
          </cell>
          <cell r="F135">
            <v>0.8</v>
          </cell>
        </row>
        <row r="136">
          <cell r="A136">
            <v>112</v>
          </cell>
          <cell r="B136" t="str">
            <v>Día adicional de saturación y/o consolidación para ensayo triaxial CIU en probeta 15,0 x 30,0 cm.</v>
          </cell>
          <cell r="C136" t="str">
            <v>Proced. Interno</v>
          </cell>
          <cell r="D136" t="str">
            <v>---</v>
          </cell>
          <cell r="E136" t="str">
            <v>c/día</v>
          </cell>
          <cell r="F136">
            <v>4.4000000000000004</v>
          </cell>
        </row>
        <row r="137">
          <cell r="A137">
            <v>113</v>
          </cell>
          <cell r="B137" t="str">
            <v>Hora adicional etapa de corte para ensayo triaxial CIU en probeta 15,0 x 30,0 cm.</v>
          </cell>
          <cell r="C137" t="str">
            <v>Proced. Interno</v>
          </cell>
          <cell r="D137" t="str">
            <v>---</v>
          </cell>
          <cell r="E137" t="str">
            <v>c/hora</v>
          </cell>
          <cell r="F137">
            <v>1.18</v>
          </cell>
        </row>
        <row r="138">
          <cell r="A138" t="str">
            <v>II.7.3</v>
          </cell>
          <cell r="B138" t="str">
            <v>Ensayo Triaxial CID (convencional).</v>
          </cell>
          <cell r="C138"/>
          <cell r="D138"/>
          <cell r="E138"/>
          <cell r="F138"/>
        </row>
        <row r="139">
          <cell r="A139">
            <v>114</v>
          </cell>
          <cell r="B139" t="str">
            <v>Ensaye Triaxial CID (convencional), probeta  3,6 x 7,2 cm (hasta 6 kg/cm2)
Probeta tallada (muestra natural) o probeta remoldeada (muestra perturbada).
Nota 1: Se requiere serie de tres probetas/muestra.
Nota 2: Tiempo de ejecución de ensayos considera 3 días hábiles (2 días de saturación y consolidación y 3ª día etapa de corte hasta máximo 4 horas).</v>
          </cell>
          <cell r="C139" t="str">
            <v>Basado en ASTM D7181-20</v>
          </cell>
          <cell r="D139">
            <v>1</v>
          </cell>
          <cell r="E139" t="str">
            <v>c/probeta</v>
          </cell>
          <cell r="F139">
            <v>9.2759</v>
          </cell>
        </row>
        <row r="140">
          <cell r="A140">
            <v>115</v>
          </cell>
          <cell r="B140" t="str">
            <v>Ensaye Triaxial CID (convencional), probeta  5,0 x 10,0 cm (hasta 6 kg/cm2)
Probeta tallada (muestra natural) o probeta remoldeada (muestra perturbada).
Material bajo malla N° 4.
Nota 1: Se requiere serie de tres probetas/muestra.
Nota 2: Tiempo de ejecución de ensayos considera 3 días hábiles (2 días de saturación y consolidación y 3ª día etapa de corte hasta máximo 4 horas).</v>
          </cell>
          <cell r="C140" t="str">
            <v>Basado en ASTM D7181-20</v>
          </cell>
          <cell r="D140">
            <v>2</v>
          </cell>
          <cell r="E140" t="str">
            <v>c/probeta</v>
          </cell>
          <cell r="F140">
            <v>9.2759</v>
          </cell>
        </row>
        <row r="141">
          <cell r="A141">
            <v>116</v>
          </cell>
          <cell r="B141" t="str">
            <v>Ensaye Triaxial CID (convencional), probeta 10,0 x 20,0 cm (hasta 6 kg/cm2) 
Probeta tallada (muestra natural) o probeta remoldeada (muestra perturbada).
Material bajo 3/8 pulgada.
Nota 1: Se requiere serie de tres probetas/muestra.
Nota 2: Tiempo de ejecución de ensayos considera 3 días hábiles (2 días de saturación y consolidación y 3ª día etapa de corte hasta máximo 4 horas).</v>
          </cell>
          <cell r="C141" t="str">
            <v>Basado en ASTM D7181-20</v>
          </cell>
          <cell r="D141">
            <v>8</v>
          </cell>
          <cell r="E141" t="str">
            <v>c/probeta</v>
          </cell>
          <cell r="F141">
            <v>14.104600000000001</v>
          </cell>
        </row>
        <row r="142">
          <cell r="A142">
            <v>117</v>
          </cell>
          <cell r="B142" t="str">
            <v>Ensaye Triaxial CID (convencional), probeta 15,0 x 30,0 cm (hasta 6 kg/cm2)
Probeta tallada (muestra natural) o probeta remoldeada (muestra perturbada).
Material bajo 1 pulgada.
Nota 1: Se requiere serie de tres probetas/muestra.
Nota 2: Tiempo de ejecución de ensayos considera 3 días hábiles (2 días de saturación y consolidación y 3ª día etapa de corte hasta máximo 4 horas).</v>
          </cell>
          <cell r="C142" t="str">
            <v>Basado en ASTM D7181-20</v>
          </cell>
          <cell r="D142">
            <v>20</v>
          </cell>
          <cell r="E142" t="str">
            <v>c/probeta</v>
          </cell>
          <cell r="F142">
            <v>20.819000000000003</v>
          </cell>
        </row>
        <row r="143">
          <cell r="A143">
            <v>118</v>
          </cell>
          <cell r="B143" t="str">
            <v>Día adicional de saturación y/o consolidación para ensayo triaxial CID en probeta 3,6 x 7,2 cm y 5,0 x 10,0 cm.</v>
          </cell>
          <cell r="C143" t="str">
            <v>Proced. Interno</v>
          </cell>
          <cell r="D143" t="str">
            <v>---</v>
          </cell>
          <cell r="E143" t="str">
            <v>c/día</v>
          </cell>
          <cell r="F143">
            <v>1.98</v>
          </cell>
        </row>
        <row r="144">
          <cell r="A144">
            <v>119</v>
          </cell>
          <cell r="B144" t="str">
            <v>Hora adicional etapa de corte para ensayo triaxial CID en probeta 3,6 x 7,2 cm y 5,0 x 10,0 cm.</v>
          </cell>
          <cell r="C144" t="str">
            <v>Proced. Interno</v>
          </cell>
          <cell r="D144" t="str">
            <v>---</v>
          </cell>
          <cell r="E144" t="str">
            <v>c/hora</v>
          </cell>
          <cell r="F144">
            <v>0.53</v>
          </cell>
        </row>
        <row r="145">
          <cell r="A145">
            <v>120</v>
          </cell>
          <cell r="B145" t="str">
            <v>Día adicional de saturación y/o consolidación para ensayo triaxial CID en probeta 10,0 x 20,0 cm.</v>
          </cell>
          <cell r="C145" t="str">
            <v>Proced. Interno</v>
          </cell>
          <cell r="D145" t="str">
            <v>---</v>
          </cell>
          <cell r="E145" t="str">
            <v>c/día</v>
          </cell>
          <cell r="F145">
            <v>3.05</v>
          </cell>
        </row>
        <row r="146">
          <cell r="A146">
            <v>121</v>
          </cell>
          <cell r="B146" t="str">
            <v>Hora adicional etapa de corte para ensayo triaxial CID en probeta 10,0 x 20,0 cm.</v>
          </cell>
          <cell r="C146" t="str">
            <v>Proced. Interno</v>
          </cell>
          <cell r="D146" t="str">
            <v>---</v>
          </cell>
          <cell r="E146" t="str">
            <v>c/hora</v>
          </cell>
          <cell r="F146">
            <v>0.8</v>
          </cell>
        </row>
        <row r="147">
          <cell r="A147">
            <v>122</v>
          </cell>
          <cell r="B147" t="str">
            <v>Día adicional de saturación y/o consolidación para ensayo triaxial CID en probeta 15,0 x 30,0 cm.</v>
          </cell>
          <cell r="C147" t="str">
            <v>Proced. Interno</v>
          </cell>
          <cell r="D147" t="str">
            <v>---</v>
          </cell>
          <cell r="E147" t="str">
            <v>c/día</v>
          </cell>
          <cell r="F147">
            <v>4.4000000000000004</v>
          </cell>
        </row>
        <row r="148">
          <cell r="A148">
            <v>123</v>
          </cell>
          <cell r="B148" t="str">
            <v>Hora adicional etapa de corte para ensayo triaxial CID en probeta 15,0 x 30,0 cm.</v>
          </cell>
          <cell r="C148" t="str">
            <v>Proced. Interno</v>
          </cell>
          <cell r="D148" t="str">
            <v>---</v>
          </cell>
          <cell r="E148" t="str">
            <v>c/hora</v>
          </cell>
          <cell r="F148">
            <v>1.18</v>
          </cell>
        </row>
        <row r="149">
          <cell r="A149" t="str">
            <v>II.7.4</v>
          </cell>
          <cell r="B149" t="str">
            <v>Ensayos Triaxial CIU, CID, UU de altas presiones</v>
          </cell>
          <cell r="C149"/>
          <cell r="D149"/>
          <cell r="E149"/>
          <cell r="F149"/>
        </row>
        <row r="150">
          <cell r="A150">
            <v>124</v>
          </cell>
          <cell r="B150" t="str">
            <v>Triaxial CIU, CID y UU de 5,0 x 10,0 cm (hasta presión de confinamiento de 28 kg/cm2).
Probeta tallada (muestra natural) o probeta remoldeada (muestra perturbada).
Material bajo malla N° 4.
Nota 1: Se requiere serie de tres probetas/muestra.
Nota 2: Tiempo de ejecución de ensayos considera 3 días hábiles (2 días de saturación y consolidación y 3ª día etapa de corte hasta máximo 4 horas).</v>
          </cell>
          <cell r="C150" t="str">
            <v>Basado en ASTM D7181-20</v>
          </cell>
          <cell r="D150">
            <v>2</v>
          </cell>
          <cell r="E150" t="str">
            <v>c/probeta</v>
          </cell>
          <cell r="F150">
            <v>16.491700000000002</v>
          </cell>
        </row>
        <row r="151">
          <cell r="A151">
            <v>125</v>
          </cell>
          <cell r="B151" t="str">
            <v>Ensaye Triaxial CIU o CID, probeta 10,0 x 20,0 cm (hasta 12 kg/cm2).
Probeta tallada (muestra natural) o probeta remoldeada (muestra perturbada).
Material bajo 3/4 pulgada.
Nota 1: Se requiere serie de tres probetas/muestra.
Nota 2: Tiempo de ejecución de ensayos considera 3 días hábiles (2 días de saturación y consolidación y 3ª día etapa de corte hasta máximo 4 horas).</v>
          </cell>
          <cell r="C151" t="str">
            <v>Basado en ASTM D7181-20</v>
          </cell>
          <cell r="D151">
            <v>8</v>
          </cell>
          <cell r="E151" t="str">
            <v>c/probeta</v>
          </cell>
          <cell r="F151">
            <v>25.07</v>
          </cell>
        </row>
        <row r="152">
          <cell r="A152">
            <v>126</v>
          </cell>
          <cell r="B152" t="str">
            <v>Ensaye Triaxial CIU o CID, probeta 15,0 x 30,0 cm (hasta 9 kg/cm2).
Probeta tallada (muestra natural) o probeta remoldeada (muestra perturbada).
Material bajo 1 pulgada.
Nota 1: Se requiere serie de tres probetas/muestra.
Nota 2: Tiempo de ejecución de ensayos considera 3 días hábiles (2 días de saturación y consolidación y 3ª día etapa de corte hasta máximo 4 horas).</v>
          </cell>
          <cell r="C152" t="str">
            <v>Basado en ASTM D7181-20</v>
          </cell>
          <cell r="D152">
            <v>20</v>
          </cell>
          <cell r="E152" t="str">
            <v>c/probeta</v>
          </cell>
          <cell r="F152">
            <v>37.354300000000009</v>
          </cell>
        </row>
        <row r="153">
          <cell r="A153">
            <v>127</v>
          </cell>
          <cell r="B153" t="str">
            <v>Día adicional de saturación y/o consolidación para ensayo triaxial en altas presiones para probetas 3,6 x 7,2 cm y 5,0 x 10,0 cm.</v>
          </cell>
          <cell r="C153" t="str">
            <v>Proced. Interno</v>
          </cell>
          <cell r="D153" t="str">
            <v>---</v>
          </cell>
          <cell r="E153" t="str">
            <v>c/día</v>
          </cell>
          <cell r="F153">
            <v>1.98</v>
          </cell>
        </row>
        <row r="154">
          <cell r="A154">
            <v>128</v>
          </cell>
          <cell r="B154" t="str">
            <v>Hora adicional etapa de corte para ensayo triaxial en altas presiones para probetas 3,6 x 7,2 cm y 5,0 x 10,0 cm.</v>
          </cell>
          <cell r="C154" t="str">
            <v>Proced. Interno</v>
          </cell>
          <cell r="D154" t="str">
            <v>---</v>
          </cell>
          <cell r="E154" t="str">
            <v>c/hora</v>
          </cell>
          <cell r="F154">
            <v>0.53</v>
          </cell>
        </row>
        <row r="155">
          <cell r="A155">
            <v>129</v>
          </cell>
          <cell r="B155" t="str">
            <v>Día adicional de saturación y/o consolidación para ensayo triaxial en altas presiones para probeta 10,0 x 20,0 cm.</v>
          </cell>
          <cell r="C155" t="str">
            <v>Proced. Interno</v>
          </cell>
          <cell r="D155" t="str">
            <v>---</v>
          </cell>
          <cell r="E155" t="str">
            <v>c/día</v>
          </cell>
          <cell r="F155">
            <v>3.05</v>
          </cell>
        </row>
        <row r="156">
          <cell r="A156">
            <v>130</v>
          </cell>
          <cell r="B156" t="str">
            <v>Hora adicional etapa de corte para ensayo triaxialen altas presiones para probeta 10,0 x 20,0 cm.</v>
          </cell>
          <cell r="C156" t="str">
            <v>Proced. Interno</v>
          </cell>
          <cell r="D156" t="str">
            <v>---</v>
          </cell>
          <cell r="E156" t="str">
            <v>c/hora</v>
          </cell>
          <cell r="F156">
            <v>0.8</v>
          </cell>
        </row>
        <row r="157">
          <cell r="A157">
            <v>131</v>
          </cell>
          <cell r="B157" t="str">
            <v>Día adicional de saturación y/o consolidación para ensayo triaxial en altas presiones para probeta 15,0 x 30,0 cm.</v>
          </cell>
          <cell r="C157" t="str">
            <v>Proced. Interno</v>
          </cell>
          <cell r="D157" t="str">
            <v>---</v>
          </cell>
          <cell r="E157" t="str">
            <v>c/día</v>
          </cell>
          <cell r="F157">
            <v>4.8600000000000003</v>
          </cell>
        </row>
        <row r="158">
          <cell r="A158">
            <v>132</v>
          </cell>
          <cell r="B158" t="str">
            <v>Hora adicional etapa de corte para ensayo triaxial en altas presiones para probeta 15,0 x 30,0 cm.</v>
          </cell>
          <cell r="C158" t="str">
            <v>Proced. Interno</v>
          </cell>
          <cell r="D158" t="str">
            <v>---</v>
          </cell>
          <cell r="E158" t="str">
            <v>c/hora</v>
          </cell>
          <cell r="F158">
            <v>1.18</v>
          </cell>
        </row>
        <row r="159">
          <cell r="A159" t="str">
            <v>II.7.5</v>
          </cell>
          <cell r="B159" t="str">
            <v>Ensayos Triaxial CIU, CID, UU Bordes Lubricados</v>
          </cell>
          <cell r="C159"/>
          <cell r="D159"/>
          <cell r="E159"/>
          <cell r="F159"/>
        </row>
        <row r="160">
          <cell r="A160">
            <v>133</v>
          </cell>
          <cell r="B160" t="str">
            <v>Triaxial CIU, CID y UU de 5,0 x 10,0 cm (hasta presión de confinamiento de 6 kg/cm2).
Probeta tallada (muestra natural) o probeta remoldeada (muestra perturbada).
Material bajo malla N° 4. con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0" t="str">
            <v>Basado en ASTM D7181-20</v>
          </cell>
          <cell r="D160">
            <v>2</v>
          </cell>
          <cell r="E160" t="str">
            <v>c/probeta</v>
          </cell>
          <cell r="F160">
            <v>11.128900000000002</v>
          </cell>
        </row>
        <row r="161">
          <cell r="A161">
            <v>134</v>
          </cell>
          <cell r="B161" t="str">
            <v>Ensaye Triaxial CIU, CID y UU, probeta 10,0 x 20,0 cm (hasta 6 kg/cm2).
Probeta tallada (muestra natural) o probeta remoldeada (muestra perturbada).
Material bajo 3/4 pulgada. 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1" t="str">
            <v>Basado en ASTM D7181-20</v>
          </cell>
          <cell r="D161">
            <v>8</v>
          </cell>
          <cell r="E161" t="str">
            <v>c/probeta</v>
          </cell>
          <cell r="F161">
            <v>16.927700000000002</v>
          </cell>
        </row>
        <row r="162">
          <cell r="A162">
            <v>135</v>
          </cell>
          <cell r="B162" t="str">
            <v>Ensaye Triaxial CIU, CID y UU, probeta 15,0 x 30,0 cm (hasta 6 kg/cm2).
Probeta tallada (muestra natural) o probeta remoldeada (muestra perturbada).
Material bajo 1 1/2 pulgada. 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2" t="str">
            <v>Basado en ASTM D7181-20</v>
          </cell>
          <cell r="D162">
            <v>20</v>
          </cell>
          <cell r="E162" t="str">
            <v>c/probeta</v>
          </cell>
          <cell r="F162">
            <v>24.982800000000005</v>
          </cell>
        </row>
        <row r="163">
          <cell r="A163">
            <v>136</v>
          </cell>
          <cell r="B163" t="str">
            <v>Triaxial CIU, CID y UU de 5,0 x 10,0 cm (hasta presión de confinamiento de 30 kg/cm2).
Probeta tallada (muestra natural) o probeta remoldeada (muestra perturbada).
Material bajo malla N° 4.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3" t="str">
            <v>Basado en ASTM D7181-20</v>
          </cell>
          <cell r="D163">
            <v>2</v>
          </cell>
          <cell r="E163" t="str">
            <v>c/probeta</v>
          </cell>
          <cell r="F163">
            <v>19.794400000000003</v>
          </cell>
        </row>
        <row r="164">
          <cell r="A164">
            <v>137</v>
          </cell>
          <cell r="B164" t="str">
            <v>Ensaye Triaxial CIU o CID, probeta 10,0 x 20,0 cm (hasta 12 kg/cm2).
Probeta tallada (muestra natural) o probeta remoldeada (muestra perturbada).
Material bajo 3/4 pulgada.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4" t="str">
            <v>Basado en ASTM D7181-20</v>
          </cell>
          <cell r="D164">
            <v>8</v>
          </cell>
          <cell r="E164" t="str">
            <v>c/probeta</v>
          </cell>
          <cell r="F164">
            <v>30.084000000000003</v>
          </cell>
        </row>
        <row r="165">
          <cell r="A165">
            <v>138</v>
          </cell>
          <cell r="B165" t="str">
            <v>Ensaye Triaxial CIU o CID, probeta 15,0 x 30,0 cm (hasta 9 kg/cm2).
Probeta tallada (muestra natural) o probeta remoldeada (muestra perturbada).
Material bajo 1 1/2 pulgada. Metodología de Bordes Lubricados (considera caps con sobreancho)
Nota 1: Se requiere serie de tres probetas/muestra.
Nota 2: Tiempo de ejecución de ensayos considera 3 días hábiles (2 días de saturación y consolidación y 3ª día etapa de corte hasta máximo 4 horas).</v>
          </cell>
          <cell r="C165" t="str">
            <v>Basado en ASTM D7181-20</v>
          </cell>
          <cell r="D165">
            <v>20</v>
          </cell>
          <cell r="E165" t="str">
            <v>c/probeta</v>
          </cell>
          <cell r="F165">
            <v>44.820799999999998</v>
          </cell>
        </row>
        <row r="166">
          <cell r="A166">
            <v>139</v>
          </cell>
          <cell r="B166" t="str">
            <v>Día adicional de saturación y/o consolidación para ensayo triaxial bordes lubricados para probeta 5,0 x 10,0 cm.</v>
          </cell>
          <cell r="C166" t="str">
            <v>Proced. Interno</v>
          </cell>
          <cell r="D166" t="str">
            <v>---</v>
          </cell>
          <cell r="E166" t="str">
            <v>c/día</v>
          </cell>
          <cell r="F166">
            <v>1.98</v>
          </cell>
        </row>
        <row r="167">
          <cell r="A167">
            <v>140</v>
          </cell>
          <cell r="B167" t="str">
            <v>Hora adicional etapa de corte para ensayo triaxial bordes lubricados para probeta 5,0 x 10,0 cm.</v>
          </cell>
          <cell r="C167" t="str">
            <v>Proced. Interno</v>
          </cell>
          <cell r="D167" t="str">
            <v>---</v>
          </cell>
          <cell r="E167" t="str">
            <v>c/hora</v>
          </cell>
          <cell r="F167">
            <v>0.53</v>
          </cell>
        </row>
        <row r="168">
          <cell r="A168">
            <v>141</v>
          </cell>
          <cell r="B168" t="str">
            <v>Día adicional de saturación y/o consolidación para ensayo triaxial bordes lubricados para probeta 10,0 x 20,0 cm.</v>
          </cell>
          <cell r="C168" t="str">
            <v>Proced. Interno</v>
          </cell>
          <cell r="D168" t="str">
            <v>---</v>
          </cell>
          <cell r="E168" t="str">
            <v>c/día</v>
          </cell>
          <cell r="F168">
            <v>3.05</v>
          </cell>
        </row>
        <row r="169">
          <cell r="A169">
            <v>142</v>
          </cell>
          <cell r="B169" t="str">
            <v>Hora adicional etapa de corte para ensayo triaxial bordes lubricados para probeta 10,0 x 20,0 cm.</v>
          </cell>
          <cell r="C169" t="str">
            <v>Proced. Interno</v>
          </cell>
          <cell r="D169" t="str">
            <v>---</v>
          </cell>
          <cell r="E169" t="str">
            <v>c/hora</v>
          </cell>
          <cell r="F169">
            <v>0.8</v>
          </cell>
        </row>
        <row r="170">
          <cell r="A170">
            <v>143</v>
          </cell>
          <cell r="B170" t="str">
            <v>Día adicional de saturación y/o consolidación para ensayo triaxial bordes lubricados para probeta 15,0 x 30,0 cm.</v>
          </cell>
          <cell r="C170" t="str">
            <v>Proced. Interno</v>
          </cell>
          <cell r="D170" t="str">
            <v>---</v>
          </cell>
          <cell r="E170" t="str">
            <v>c/día</v>
          </cell>
          <cell r="F170">
            <v>4.4000000000000004</v>
          </cell>
        </row>
        <row r="171">
          <cell r="A171">
            <v>144</v>
          </cell>
          <cell r="B171" t="str">
            <v>Hora adicional etapa de corte para ensayo triaxial bordes lubricados para probeta 15,0 x 30,0 cm.</v>
          </cell>
          <cell r="C171" t="str">
            <v>Proced. Interno</v>
          </cell>
          <cell r="D171" t="str">
            <v>---</v>
          </cell>
          <cell r="E171" t="str">
            <v>c/hora</v>
          </cell>
          <cell r="F171">
            <v>1.18</v>
          </cell>
        </row>
        <row r="172">
          <cell r="A172" t="str">
            <v>VII.6</v>
          </cell>
          <cell r="B172" t="str">
            <v>Hora Adicional equipos triaxiales</v>
          </cell>
          <cell r="C172"/>
          <cell r="D172"/>
          <cell r="E172"/>
          <cell r="F172"/>
        </row>
        <row r="173">
          <cell r="A173">
            <v>145</v>
          </cell>
          <cell r="B173" t="str">
            <v xml:space="preserve">Hora adicional triaxial CIU/CID/UU probeta de 5 x 10 cm y probeta de 3,6 x 7,2 cm (hasta 6kg/cm2)
Considera equipo y técnico especialista geotécnico 
Horario Diurno Lunes a Viernes 8:00 a 20:00 horas </v>
          </cell>
          <cell r="C173" t="str">
            <v>---</v>
          </cell>
          <cell r="D173">
            <v>1</v>
          </cell>
          <cell r="E173" t="str">
            <v>HH</v>
          </cell>
          <cell r="F173">
            <v>1.0682</v>
          </cell>
        </row>
        <row r="174">
          <cell r="A174">
            <v>146</v>
          </cell>
          <cell r="B174" t="str">
            <v xml:space="preserve">Hora adicional triaxial CIU/CID/UU probeta de 5,0 x 10,0 cm y probeta de 3,6 x 7,2 cm (hasta 6kg/cm2)
Considera equipo y técnico especialista geotécnico 
Horario Nocturno y fines de semana </v>
          </cell>
          <cell r="C174" t="str">
            <v>---</v>
          </cell>
          <cell r="D174">
            <v>1</v>
          </cell>
          <cell r="E174" t="str">
            <v>HH</v>
          </cell>
          <cell r="F174">
            <v>1.4260470000000001</v>
          </cell>
        </row>
        <row r="175">
          <cell r="A175">
            <v>147</v>
          </cell>
          <cell r="B175" t="str">
            <v xml:space="preserve">Hora adicional triaxial CIU/CID/UU probeta de 10,0 x 20,0 cm (hasta 6kg/cm2)
Considera equipo y técnico especialista geotécnico 
Horario Diurno Lunes a Viernes 8:00 a 20:00 horas </v>
          </cell>
          <cell r="C175" t="str">
            <v>---</v>
          </cell>
          <cell r="D175">
            <v>1</v>
          </cell>
          <cell r="E175" t="str">
            <v>HH</v>
          </cell>
          <cell r="F175">
            <v>1.6241000000000001</v>
          </cell>
        </row>
        <row r="176">
          <cell r="A176">
            <v>148</v>
          </cell>
          <cell r="B176" t="str">
            <v xml:space="preserve">Hora adicional triaxial CIU/CID/UU probeta de 10,0 x 20,0 cm (hasta 6kg/cm2)
Considera equipo y técnico especialista geotécnico 
Horario Nocturno y fines de semana </v>
          </cell>
          <cell r="C176" t="str">
            <v>---</v>
          </cell>
          <cell r="D176">
            <v>1</v>
          </cell>
          <cell r="E176" t="str">
            <v>HH</v>
          </cell>
          <cell r="F176">
            <v>2.1681735</v>
          </cell>
        </row>
        <row r="177">
          <cell r="A177">
            <v>149</v>
          </cell>
          <cell r="B177" t="str">
            <v xml:space="preserve">Hora adicional triaxial CIU/CID/UU probeta de 15,0 x 30,0 cm (hasta 6kg/cm2)
Considera equipo y técnico especialista geotécnico 
Horario Diurno Lunes a Viernes 8:00 a 20:00 horas </v>
          </cell>
          <cell r="C177" t="str">
            <v>---</v>
          </cell>
          <cell r="D177">
            <v>1</v>
          </cell>
          <cell r="E177" t="str">
            <v>HH</v>
          </cell>
          <cell r="F177">
            <v>2.3980000000000006</v>
          </cell>
        </row>
        <row r="178">
          <cell r="A178">
            <v>150</v>
          </cell>
          <cell r="B178" t="str">
            <v xml:space="preserve">Hora adicional triaxial CIU/CID/UU probeta de 15,0 x 30,0 cm (hasta 6kg/cm2)
Considera equipo y técnico especialista geotécnico 
Horario Nocturno y fines de semana </v>
          </cell>
          <cell r="C178" t="str">
            <v>---</v>
          </cell>
          <cell r="D178">
            <v>1</v>
          </cell>
          <cell r="E178" t="str">
            <v>HH</v>
          </cell>
          <cell r="F178">
            <v>3.2046000000000001</v>
          </cell>
        </row>
        <row r="179">
          <cell r="A179">
            <v>151</v>
          </cell>
          <cell r="B179" t="str">
            <v xml:space="preserve">Hora adicional triaxial CIU/CID/UU probeta de 5 x 10 cm y probeta de 3,6 x 7,2 cm (hasta 28kg/cm2)
Considera equipo y técnico especialista geotécnico 
Horario Diurno Lunes a Viernes 8:00 a 20:00 horas </v>
          </cell>
          <cell r="C179" t="str">
            <v>---</v>
          </cell>
          <cell r="D179">
            <v>1</v>
          </cell>
          <cell r="E179" t="str">
            <v>HH</v>
          </cell>
          <cell r="F179">
            <v>1.8857000000000002</v>
          </cell>
        </row>
        <row r="180">
          <cell r="A180">
            <v>152</v>
          </cell>
          <cell r="B180" t="str">
            <v xml:space="preserve">Hora adicional triaxial CIU/CID/UU probeta de 5,0 x 10,0 cm y probeta de 3,6 x 7,2 cm (hasta 28kg/cm2)
Considera equipo y técnico especialista geotécnico 
Horario Nocturno y fines de semana </v>
          </cell>
          <cell r="C180" t="str">
            <v>---</v>
          </cell>
          <cell r="D180">
            <v>1</v>
          </cell>
          <cell r="E180" t="str">
            <v>HH</v>
          </cell>
          <cell r="F180">
            <v>2.5179</v>
          </cell>
        </row>
        <row r="181">
          <cell r="A181">
            <v>153</v>
          </cell>
          <cell r="B181" t="str">
            <v xml:space="preserve">Hora adicional triaxial CIU/CID/UU probeta de 10,0 x 20,0 cm (hasta 12kg/cm2)
Considera equipo y técnico especialista geotécnico 
Horario Diurno Lunes a Viernes 8:00 a 20:00 horas </v>
          </cell>
          <cell r="C181" t="str">
            <v>---</v>
          </cell>
          <cell r="D181">
            <v>1</v>
          </cell>
          <cell r="E181" t="str">
            <v>HH</v>
          </cell>
          <cell r="F181">
            <v>2.8776000000000002</v>
          </cell>
        </row>
        <row r="182">
          <cell r="A182">
            <v>154</v>
          </cell>
          <cell r="B182" t="str">
            <v xml:space="preserve">Hora adicional triaxial CIU/CID/UU probeta de 10,0 x 20,0 cm (hasta 12kg/cm2)
Considera equipo y técnico especialista geotécnico 
Horario Nocturno y fines de semana </v>
          </cell>
          <cell r="C182" t="str">
            <v>---</v>
          </cell>
          <cell r="D182">
            <v>1</v>
          </cell>
          <cell r="E182" t="str">
            <v>HH</v>
          </cell>
          <cell r="F182">
            <v>3.8415960000000005</v>
          </cell>
        </row>
        <row r="183">
          <cell r="A183">
            <v>155</v>
          </cell>
          <cell r="B183" t="str">
            <v xml:space="preserve">Hora adicional triaxial CIU/CID/UU probeta de 15,0 x 30,0 cm (hasta 9kg/cm2)
Considera equipo y técnico especialista geotécnico 
Horario Diurno Lunes a Viernes 8:00 a 20:00 horas </v>
          </cell>
          <cell r="C183" t="str">
            <v>---</v>
          </cell>
          <cell r="D183">
            <v>1</v>
          </cell>
          <cell r="E183" t="str">
            <v>HH</v>
          </cell>
          <cell r="F183">
            <v>4.2401000000000009</v>
          </cell>
        </row>
        <row r="184">
          <cell r="A184">
            <v>156</v>
          </cell>
          <cell r="B184" t="str">
            <v xml:space="preserve">Hora adicional triaxial CIU/CID/UU probeta de 15,0 x 30,0 cm (hasta 9kg/cm2)
Considera equipo y técnico especialista geotécnico 
Horario Nocturno y fines de semana </v>
          </cell>
          <cell r="C184" t="str">
            <v>---</v>
          </cell>
          <cell r="D184">
            <v>1</v>
          </cell>
          <cell r="E184" t="str">
            <v>HH</v>
          </cell>
          <cell r="F184">
            <v>5.6605335000000006</v>
          </cell>
        </row>
        <row r="185">
          <cell r="A185" t="str">
            <v>II.7.6</v>
          </cell>
          <cell r="B185" t="str">
            <v>Ensayo Triaxial Cíclico (Convencional)</v>
          </cell>
          <cell r="C185"/>
          <cell r="D185"/>
          <cell r="E185"/>
          <cell r="F185"/>
        </row>
        <row r="186">
          <cell r="A186">
            <v>157</v>
          </cell>
          <cell r="B186" t="str">
            <v xml:space="preserve">Triaxial Cíclico probeta de 5 x 10 cm, Consolidado Isotrópicamente No Drenado (hasta 5 kg/cm2 de confinamiento).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ciclos). </v>
          </cell>
          <cell r="C186" t="str">
            <v>Basado en ASTM D5311-25</v>
          </cell>
          <cell r="D186">
            <v>2</v>
          </cell>
          <cell r="E186" t="str">
            <v>c/probeta</v>
          </cell>
          <cell r="F186">
            <v>13.494200000000001</v>
          </cell>
        </row>
        <row r="187">
          <cell r="A187">
            <v>158</v>
          </cell>
          <cell r="B187" t="str">
            <v xml:space="preserve">Triaxial Cíclico probeta de 5 x 10 cm, Consolidado Isotrópicamente No Drenado(hasta 28 kg/cm2 de confinamiento).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ciclos). </v>
          </cell>
          <cell r="C187" t="str">
            <v>Basado en ASTM D5311-25</v>
          </cell>
          <cell r="D187">
            <v>2</v>
          </cell>
          <cell r="E187" t="str">
            <v>c/probeta</v>
          </cell>
          <cell r="F187">
            <v>24.121700000000001</v>
          </cell>
        </row>
        <row r="188">
          <cell r="A188">
            <v>159</v>
          </cell>
          <cell r="B188" t="str">
            <v xml:space="preserve">Triaxial Cíclico probeta de 5 x 10 cm, Consolidado Anisotrópicamente No Drenado (hasta 5 kg/cm2 de confinamiento).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ciclos). </v>
          </cell>
          <cell r="C188" t="str">
            <v>Basado en ASTM D5311-25</v>
          </cell>
          <cell r="D188">
            <v>2</v>
          </cell>
          <cell r="E188" t="str">
            <v>c/probeta</v>
          </cell>
          <cell r="F188">
            <v>19.947000000000003</v>
          </cell>
        </row>
        <row r="189">
          <cell r="A189">
            <v>160</v>
          </cell>
          <cell r="B189" t="str">
            <v xml:space="preserve">Triaxial Cíclico probeta de 5 x 10 cm, Consolidado Anisotrópicamente No Drenado (hasta 28 kg/cm2 de confinamiento).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ciclos). </v>
          </cell>
          <cell r="C189" t="str">
            <v>Basado en ASTM D5311-25</v>
          </cell>
          <cell r="D189">
            <v>2</v>
          </cell>
          <cell r="E189" t="str">
            <v>c/probeta</v>
          </cell>
          <cell r="F189">
            <v>35.305100000000003</v>
          </cell>
        </row>
        <row r="190">
          <cell r="A190">
            <v>161</v>
          </cell>
          <cell r="B190" t="str">
            <v xml:space="preserve">Triaxial Cíclico probeta de 5 x 10 cm, Consolidado Isotrópicamente No Drenado (hasta 5 kg/cm2 de confinamiento) y Post Cíclico a carga controlada.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 y ensayo post-cíclico). </v>
          </cell>
          <cell r="C190" t="str">
            <v>Basado en ASTM D5311-25</v>
          </cell>
          <cell r="D190">
            <v>2</v>
          </cell>
          <cell r="E190" t="str">
            <v>c/probeta</v>
          </cell>
          <cell r="F190">
            <v>18.192100000000003</v>
          </cell>
        </row>
        <row r="191">
          <cell r="A191">
            <v>162</v>
          </cell>
          <cell r="B191" t="str">
            <v xml:space="preserve">Triaxial Cíclico probeta de 5 x 10 cm, Consolidado Anisotrópicamente No Drenado (hasta 28 kg/cm2 de confinamiento) y Post Cíclico a carga controlada.
Probeta tallada (muestra natural) o probeta remoldeada (muestra perturbada).
Material bajo malla N° 4.
Nota 1: Se requiere serie de tres probetas/confinamiento/muestra.
Para cada probeta se considera una razón de corte (Rc) distinta.
Nota 2: Tiempo de ejecución de ensayos considera 3 días hábiles (2 días de saturación y consolidación y 3ª día etapa de cicleo hasta máximo 300 ciclos y ensayo post-cíclico). </v>
          </cell>
          <cell r="C191" t="str">
            <v>Basado en ASTM D5311-25</v>
          </cell>
          <cell r="D191">
            <v>2</v>
          </cell>
          <cell r="E191" t="str">
            <v>c/probeta</v>
          </cell>
          <cell r="F191">
            <v>27.010200000000005</v>
          </cell>
        </row>
        <row r="192">
          <cell r="A192">
            <v>163</v>
          </cell>
          <cell r="B192" t="str">
            <v>Día adicional de saturación y/o consolidación para ensayo triaxial cíclico para probeta 5,0 x 10,0 cm.</v>
          </cell>
          <cell r="C192" t="str">
            <v>Proced. Interno</v>
          </cell>
          <cell r="D192" t="str">
            <v>---</v>
          </cell>
          <cell r="E192" t="str">
            <v>c/día</v>
          </cell>
          <cell r="F192">
            <v>2.4</v>
          </cell>
        </row>
        <row r="193">
          <cell r="A193">
            <v>164</v>
          </cell>
          <cell r="B193" t="str">
            <v>Hora adicional etapa de corte para ensayo triaxial cíclico para probeta 5,0 x 10,0 cm.</v>
          </cell>
          <cell r="C193" t="str">
            <v>Proced. Interno</v>
          </cell>
          <cell r="D193" t="str">
            <v>---</v>
          </cell>
          <cell r="E193" t="str">
            <v>c/hora</v>
          </cell>
          <cell r="F193">
            <v>0.65</v>
          </cell>
        </row>
        <row r="194">
          <cell r="A194">
            <v>165</v>
          </cell>
          <cell r="B194" t="str">
            <v>Día adicional de saturación y/o consolidación para ensayo triaxial cíclico para probeta 10,0 x 20,0 cm.</v>
          </cell>
          <cell r="C194" t="str">
            <v>Proced. Interno</v>
          </cell>
          <cell r="D194" t="str">
            <v>---</v>
          </cell>
          <cell r="E194" t="str">
            <v>c/día</v>
          </cell>
          <cell r="F194"/>
        </row>
        <row r="195">
          <cell r="A195">
            <v>166</v>
          </cell>
          <cell r="B195" t="str">
            <v>Hora adicional etapa de corte para ensayo triaxial cíclico para probeta 10,0 x 20,0 cm.</v>
          </cell>
          <cell r="C195" t="str">
            <v>Proced. Interno</v>
          </cell>
          <cell r="D195" t="str">
            <v>---</v>
          </cell>
          <cell r="E195" t="str">
            <v>c/hora</v>
          </cell>
          <cell r="F195"/>
        </row>
        <row r="196">
          <cell r="A196">
            <v>167</v>
          </cell>
          <cell r="B196" t="str">
            <v>Día adicional de saturación y/o consolidación para ensayo triaxial cíclico para probeta 15,0 x 30,0 cm.</v>
          </cell>
          <cell r="C196" t="str">
            <v>Proced. Interno</v>
          </cell>
          <cell r="D196" t="str">
            <v>---</v>
          </cell>
          <cell r="E196" t="str">
            <v>c/día</v>
          </cell>
          <cell r="F196"/>
        </row>
        <row r="197">
          <cell r="A197">
            <v>168</v>
          </cell>
          <cell r="B197" t="str">
            <v>Hora adicional etapa de corte para ensayo triaxial cíclico para probeta 15,0 x 30,0 cm.</v>
          </cell>
          <cell r="C197" t="str">
            <v>Proced. Interno</v>
          </cell>
          <cell r="D197" t="str">
            <v>---</v>
          </cell>
          <cell r="E197" t="str">
            <v>c/hora</v>
          </cell>
          <cell r="F197"/>
        </row>
        <row r="198">
          <cell r="A198" t="str">
            <v>II.7.7</v>
          </cell>
          <cell r="B198" t="str">
            <v>Ensayo Triaxial Cíclico a pequeñas deformaciones</v>
          </cell>
          <cell r="C198"/>
          <cell r="D198"/>
          <cell r="E198"/>
          <cell r="F198"/>
        </row>
        <row r="199">
          <cell r="A199">
            <v>169</v>
          </cell>
          <cell r="B199" t="str">
            <v>Ensayo triaxial cíclico a pequeñas deformaciones.
Considera 1 confinamiento hasta 7 kg/cm2.
Nota: Tiempo de ejecución de ensayos considera 3 días hábiles (2 días de saturación y consolidación). El nivel de deformación mínimo es de 10-4.</v>
          </cell>
          <cell r="C199" t="str">
            <v>ASTM D3999-11e1</v>
          </cell>
          <cell r="D199">
            <v>2</v>
          </cell>
          <cell r="E199" t="str">
            <v>c/probeta</v>
          </cell>
          <cell r="F199">
            <v>70.09790000000001</v>
          </cell>
        </row>
        <row r="200">
          <cell r="A200">
            <v>170</v>
          </cell>
          <cell r="B200" t="str">
            <v>Día adicional de saturación y/o consolidación para ensayo triaxial cíclico a pequeñas deformaciones.</v>
          </cell>
          <cell r="C200" t="str">
            <v>Proced. Interno</v>
          </cell>
          <cell r="D200" t="str">
            <v>---</v>
          </cell>
          <cell r="E200" t="str">
            <v>c/día</v>
          </cell>
          <cell r="F200">
            <v>15.31</v>
          </cell>
        </row>
        <row r="201">
          <cell r="A201" t="str">
            <v>II.8</v>
          </cell>
          <cell r="B201" t="str">
            <v>ENSAYO BENDER</v>
          </cell>
          <cell r="C201"/>
          <cell r="D201"/>
          <cell r="E201"/>
          <cell r="F201"/>
        </row>
        <row r="202">
          <cell r="A202">
            <v>171</v>
          </cell>
          <cell r="B202" t="str">
            <v>Bender Element (probeta 5 x 10 cm) hasta 9 kg/cm2, para tres presiones de confinamiento. Tamaño máximo de partícula malla Nº 4.
Nota 1: Tiempo de ejecución de ensayos considera 3 días hábiles (2 días de saturación y consolidación y 3ª día de ensayo).</v>
          </cell>
          <cell r="C202" t="str">
            <v>Proced. Interno</v>
          </cell>
          <cell r="D202">
            <v>2</v>
          </cell>
          <cell r="E202" t="str">
            <v>c/probeta</v>
          </cell>
          <cell r="F202">
            <v>15.172800000000001</v>
          </cell>
        </row>
        <row r="203">
          <cell r="A203">
            <v>172</v>
          </cell>
          <cell r="B203" t="str">
            <v>Bender Element (probeta 5 x 10 cm) con una presión de confinamiento. Tamaño máximo de partícula malla Nº 4.
Nota 1: Tiempo de ejecución de ensayos considera 2 días hábiles (1 día de saturación y 1 día de ensayo).</v>
          </cell>
          <cell r="C203" t="str">
            <v>Proced. Interno</v>
          </cell>
          <cell r="D203">
            <v>2</v>
          </cell>
          <cell r="E203" t="str">
            <v>c/probeta</v>
          </cell>
          <cell r="F203">
            <v>6.0167999999999999</v>
          </cell>
        </row>
        <row r="204">
          <cell r="A204">
            <v>173</v>
          </cell>
          <cell r="B204" t="str">
            <v>Día adicional de saturación y/o consolidación para ensayo Bender Element</v>
          </cell>
          <cell r="C204" t="str">
            <v>Proced. Interno</v>
          </cell>
          <cell r="D204"/>
          <cell r="E204" t="str">
            <v>c/día</v>
          </cell>
          <cell r="F204">
            <v>3.28</v>
          </cell>
        </row>
        <row r="205">
          <cell r="A205">
            <v>174</v>
          </cell>
          <cell r="B205" t="str">
            <v>Presión de confinamiento adicional para ensayo Bender Element</v>
          </cell>
          <cell r="C205" t="str">
            <v>Proced. Interno</v>
          </cell>
          <cell r="D205" t="str">
            <v>---</v>
          </cell>
          <cell r="E205" t="str">
            <v>c/u</v>
          </cell>
          <cell r="F205">
            <v>1.7004000000000001</v>
          </cell>
        </row>
        <row r="206">
          <cell r="A206" t="str">
            <v>II.9</v>
          </cell>
          <cell r="B206" t="str">
            <v>ENSAYO COLUMNA RESONANTE</v>
          </cell>
          <cell r="C206"/>
          <cell r="D206"/>
          <cell r="E206"/>
          <cell r="F206"/>
        </row>
        <row r="207">
          <cell r="A207">
            <v>175</v>
          </cell>
          <cell r="B207" t="str">
            <v>Columna Resonante.
Considera 1 confinamiento hasta 9 kg/cm2.
Nota: Tiempo de ejecución de ensayos considera 3 días hábiles (2 días de saturación y consolidación y 1 día de ensayo). Considera hasta 10 ciclos. El nivel de deformación máximo es de 10-3 y dependerá del tipo de suelo.</v>
          </cell>
          <cell r="C207" t="str">
            <v>ASTM D4015-21</v>
          </cell>
          <cell r="D207">
            <v>2</v>
          </cell>
          <cell r="E207" t="str">
            <v>c/probeta</v>
          </cell>
          <cell r="F207">
            <v>49.028199999999998</v>
          </cell>
        </row>
        <row r="208">
          <cell r="A208">
            <v>176</v>
          </cell>
          <cell r="B208" t="str">
            <v>Día adicional de saturación y/o consolidación para ensayo Columna Resonante</v>
          </cell>
          <cell r="C208"/>
          <cell r="D208"/>
          <cell r="E208" t="str">
            <v>c/día</v>
          </cell>
          <cell r="F208">
            <v>10.5</v>
          </cell>
        </row>
        <row r="209">
          <cell r="A209">
            <v>177</v>
          </cell>
          <cell r="B209" t="str">
            <v>Confinamiento adicional para ensayo de columna resonante</v>
          </cell>
          <cell r="C209" t="str">
            <v>ASTM D4015-21</v>
          </cell>
          <cell r="D209" t="str">
            <v>---</v>
          </cell>
          <cell r="E209" t="str">
            <v>c/confinamiento</v>
          </cell>
          <cell r="F209">
            <v>36.416899999999998</v>
          </cell>
        </row>
        <row r="210">
          <cell r="A210" t="str">
            <v>II.10</v>
          </cell>
          <cell r="B210" t="str">
            <v>ENSAYO RESISTIVIDAD TÉRMICA</v>
          </cell>
          <cell r="C210"/>
          <cell r="D210"/>
          <cell r="E210"/>
          <cell r="F210"/>
        </row>
        <row r="211">
          <cell r="A211">
            <v>178</v>
          </cell>
          <cell r="B211" t="str">
            <v>Resistividad Térmica. Incluye Conductividad Térmica, Capacidad Calor Especifico y difusividad Térmica. Considera medición a una (01) humedad y/o densidad determinada.</v>
          </cell>
          <cell r="C211" t="str">
            <v>ASTM D5334-22ae1</v>
          </cell>
          <cell r="D211">
            <v>4</v>
          </cell>
          <cell r="E211" t="str">
            <v>c/probeta</v>
          </cell>
          <cell r="F211">
            <v>8.9270999999999994</v>
          </cell>
        </row>
        <row r="212">
          <cell r="A212" t="str">
            <v>II.11</v>
          </cell>
          <cell r="B212" t="str">
            <v>ENSAYO PINHOLE</v>
          </cell>
          <cell r="C212"/>
          <cell r="D212"/>
          <cell r="E212"/>
          <cell r="F212"/>
        </row>
        <row r="213">
          <cell r="A213">
            <v>179</v>
          </cell>
          <cell r="B213" t="str">
            <v>Ensaye Pin Hole (material bajo malla #10).</v>
          </cell>
          <cell r="C213" t="str">
            <v>Proced. Interno</v>
          </cell>
          <cell r="D213">
            <v>1</v>
          </cell>
          <cell r="E213" t="str">
            <v>c/u</v>
          </cell>
          <cell r="F213">
            <v>9.0299999999999994</v>
          </cell>
        </row>
        <row r="214">
          <cell r="A214" t="str">
            <v>II.12</v>
          </cell>
          <cell r="B214" t="str">
            <v>ENSAYOS GEOMEMBRANA</v>
          </cell>
          <cell r="C214"/>
          <cell r="D214"/>
          <cell r="E214"/>
          <cell r="F214"/>
        </row>
        <row r="215">
          <cell r="A215">
            <v>180</v>
          </cell>
          <cell r="B215" t="str">
            <v>Corte Directo Interfaz Suelo-Geomembrana. Caja de Corte 30x30 cm. 
Tensión vertical máxima 6 kg/cm2 (ensayo no permite medición de deformación vertical en etapa de consolidación)
Tamaño máximo de partícula 1 1/2"</v>
          </cell>
          <cell r="C215" t="str">
            <v>ASTM D5321/5321M-21</v>
          </cell>
          <cell r="D215" t="str">
            <v>60 kg fund
60 kg cover</v>
          </cell>
          <cell r="E215" t="str">
            <v>c/probeta</v>
          </cell>
          <cell r="F215">
            <v>23.652999999999999</v>
          </cell>
        </row>
        <row r="216">
          <cell r="A216">
            <v>181</v>
          </cell>
          <cell r="B216" t="str">
            <v xml:space="preserve">Día adicional para ensayo de Corte Directo Interfaz Suelo-Geomembrana. Caja de Corte 30x30 cm. </v>
          </cell>
          <cell r="C216" t="str">
            <v>ASTM D5321/5321M-21</v>
          </cell>
          <cell r="D216" t="str">
            <v>---</v>
          </cell>
          <cell r="E216" t="str">
            <v>c/probeta</v>
          </cell>
          <cell r="F216">
            <v>7.3792999999999997</v>
          </cell>
        </row>
        <row r="217">
          <cell r="A217">
            <v>182</v>
          </cell>
          <cell r="B217" t="str">
            <v>Punzonamiento Geo-membrana (Molde 60 cm diámetro)ante carga de suelo. 
Descripción cualitativa. Carga máxima hasta 25 kg/cm2.
Tamaño máximo de partícula 3".
Cliente debe enviar geomembrana en círculos de 60cm de diámetro.</v>
          </cell>
          <cell r="C217" t="str">
            <v>Proced. Interno</v>
          </cell>
          <cell r="D217" t="str">
            <v>15 cm de fundación
25 cm de cover
120 kg fund y 200 kg cover</v>
          </cell>
          <cell r="E217" t="str">
            <v>c/u</v>
          </cell>
          <cell r="F217">
            <v>36.416899999999998</v>
          </cell>
        </row>
        <row r="218">
          <cell r="A218">
            <v>183</v>
          </cell>
          <cell r="B218" t="str">
            <v>Punzonamiento Geo-membrana (Molde 30 cm diámetro)ante carga de suelo. Descripción cualitativa. Carga máxima hasta 30 kg/cm2. Se considera 30 cm de alturapor material. Tamaño máximo de partícula: 1 1/2"</v>
          </cell>
          <cell r="C218" t="str">
            <v>Proced. Interno</v>
          </cell>
          <cell r="D218" t="str">
            <v>90 kg fund y 90 kg cover</v>
          </cell>
          <cell r="E218" t="str">
            <v>c/u</v>
          </cell>
          <cell r="F218">
            <v>27.250000000000004</v>
          </cell>
        </row>
        <row r="219">
          <cell r="A219" t="str">
            <v>III</v>
          </cell>
          <cell r="B219" t="str">
            <v>ENSAYOS ROCAS</v>
          </cell>
          <cell r="C219"/>
          <cell r="D219"/>
          <cell r="E219"/>
          <cell r="F219"/>
        </row>
        <row r="220">
          <cell r="A220" t="str">
            <v>III.1</v>
          </cell>
          <cell r="B220" t="str">
            <v>Caracterización de rocas</v>
          </cell>
          <cell r="C220"/>
          <cell r="D220"/>
          <cell r="E220"/>
          <cell r="F220"/>
        </row>
        <row r="221">
          <cell r="A221">
            <v>184</v>
          </cell>
          <cell r="B221" t="str">
            <v>Determinación de Propiedades Físicas (Incluye Humedad, Porosidad, Densidad y Absorción).</v>
          </cell>
          <cell r="C221" t="str">
            <v>Basado en ASTM C97/C97M-25</v>
          </cell>
          <cell r="D221" t="str">
            <v>---</v>
          </cell>
          <cell r="E221" t="str">
            <v>gl.</v>
          </cell>
          <cell r="F221">
            <v>1.4</v>
          </cell>
        </row>
        <row r="222">
          <cell r="A222">
            <v>185</v>
          </cell>
          <cell r="B222" t="str">
            <v>Peso Unitario en Rocas</v>
          </cell>
          <cell r="C222" t="str">
            <v>Basado en D7263-21</v>
          </cell>
          <cell r="D222" t="str">
            <v>---</v>
          </cell>
          <cell r="E222" t="str">
            <v>c/u</v>
          </cell>
          <cell r="F222">
            <v>0.73</v>
          </cell>
        </row>
        <row r="223">
          <cell r="A223">
            <v>186</v>
          </cell>
          <cell r="B223" t="str">
            <v>Velocidad de Ondas, Vs y Vp</v>
          </cell>
          <cell r="C223" t="str">
            <v>Basado en ASTM D2845-08</v>
          </cell>
          <cell r="D223" t="str">
            <v>---</v>
          </cell>
          <cell r="E223" t="str">
            <v>c/muestra</v>
          </cell>
          <cell r="F223">
            <v>3</v>
          </cell>
        </row>
        <row r="224">
          <cell r="A224" t="str">
            <v>III.2</v>
          </cell>
          <cell r="B224" t="str">
            <v>PREPARACIÓN MUESTRA</v>
          </cell>
          <cell r="C224"/>
          <cell r="D224"/>
          <cell r="E224"/>
          <cell r="F224"/>
        </row>
        <row r="225">
          <cell r="A225">
            <v>187</v>
          </cell>
          <cell r="B225" t="str">
            <v>Extracción de testigos de roca</v>
          </cell>
          <cell r="C225" t="str">
            <v>Proced. Interno</v>
          </cell>
          <cell r="D225" t="str">
            <v>---</v>
          </cell>
          <cell r="E225" t="str">
            <v>c/testigo</v>
          </cell>
          <cell r="F225">
            <v>1.53</v>
          </cell>
        </row>
        <row r="226">
          <cell r="A226">
            <v>188</v>
          </cell>
          <cell r="B226" t="str">
            <v>Preparación de probetas (corte y refrentado).</v>
          </cell>
          <cell r="C226" t="str">
            <v>Basado en ASTM D4543-19</v>
          </cell>
          <cell r="D226" t="str">
            <v>---</v>
          </cell>
          <cell r="E226" t="str">
            <v>c/probeta</v>
          </cell>
          <cell r="F226">
            <v>2</v>
          </cell>
        </row>
        <row r="227">
          <cell r="A227">
            <v>189</v>
          </cell>
          <cell r="B227" t="str">
            <v>Preparación de Corte Transparente o Pulido. Sólo preparación, no incluye descripción.</v>
          </cell>
          <cell r="C227" t="str">
            <v>Proced. Interno</v>
          </cell>
          <cell r="D227" t="str">
            <v>---</v>
          </cell>
          <cell r="E227" t="str">
            <v>c/muestra</v>
          </cell>
          <cell r="F227">
            <v>3.4</v>
          </cell>
        </row>
        <row r="228">
          <cell r="A228" t="str">
            <v>III.3</v>
          </cell>
          <cell r="B228" t="str">
            <v>DESCRIPCIÓN FÍSICA Y MINERALÓGICA</v>
          </cell>
          <cell r="C228"/>
          <cell r="D228"/>
          <cell r="E228"/>
          <cell r="F228"/>
        </row>
        <row r="229">
          <cell r="A229">
            <v>190</v>
          </cell>
          <cell r="B229" t="str">
            <v>Análisis Mineralógico Macroscópico.</v>
          </cell>
          <cell r="C229" t="str">
            <v>Proced. Interno</v>
          </cell>
          <cell r="D229" t="str">
            <v>---</v>
          </cell>
          <cell r="E229" t="str">
            <v>c/muestra</v>
          </cell>
          <cell r="F229">
            <v>3.33</v>
          </cell>
        </row>
        <row r="230">
          <cell r="A230">
            <v>191</v>
          </cell>
          <cell r="B230" t="str">
            <v>Análisis Mineralógico Microscópico (no incluye preparación de corte transparente).</v>
          </cell>
          <cell r="C230" t="str">
            <v>Proced. Interno</v>
          </cell>
          <cell r="D230" t="str">
            <v>---</v>
          </cell>
          <cell r="E230" t="str">
            <v>c/muestra</v>
          </cell>
          <cell r="F230">
            <v>4.9000000000000004</v>
          </cell>
        </row>
        <row r="231">
          <cell r="A231">
            <v>192</v>
          </cell>
          <cell r="B231" t="str">
            <v>Determinación Dureza MOHS  (Incluye mineralogía y preparación de corte transparente).</v>
          </cell>
          <cell r="C231" t="str">
            <v>Proced. Interno</v>
          </cell>
          <cell r="D231" t="str">
            <v>---</v>
          </cell>
          <cell r="E231" t="str">
            <v>c/muestra</v>
          </cell>
          <cell r="F231">
            <v>9.23</v>
          </cell>
        </row>
        <row r="232">
          <cell r="A232">
            <v>193</v>
          </cell>
          <cell r="B232" t="str">
            <v>Difracción de Rayos X (cualitativo)</v>
          </cell>
          <cell r="C232" t="str">
            <v>Proced. Interno</v>
          </cell>
          <cell r="D232" t="str">
            <v>---</v>
          </cell>
          <cell r="E232" t="str">
            <v>c/muestra</v>
          </cell>
          <cell r="F232">
            <v>4.5999999999999996</v>
          </cell>
        </row>
        <row r="233">
          <cell r="A233">
            <v>194</v>
          </cell>
          <cell r="B233" t="str">
            <v>Difracción de Rayos X con cuantificación. (*) Se requiere muestra pulverizada bajo tamiz #200.</v>
          </cell>
          <cell r="C233" t="str">
            <v>Proced. Interno</v>
          </cell>
          <cell r="D233" t="str">
            <v>---</v>
          </cell>
          <cell r="E233" t="str">
            <v>c/muestra</v>
          </cell>
          <cell r="F233">
            <v>8</v>
          </cell>
        </row>
        <row r="234">
          <cell r="A234">
            <v>195</v>
          </cell>
          <cell r="B234" t="str">
            <v>Chancado de material (1,5 kg) para ensayo de difracción de rayos X con cuantificación</v>
          </cell>
          <cell r="C234" t="str">
            <v>Proced. Interno</v>
          </cell>
          <cell r="D234" t="str">
            <v>---</v>
          </cell>
          <cell r="E234" t="str">
            <v>c/muestra</v>
          </cell>
          <cell r="F234">
            <v>13.3</v>
          </cell>
        </row>
        <row r="235">
          <cell r="A235">
            <v>196</v>
          </cell>
          <cell r="B235" t="str">
            <v>Chancado de material (1,0 kg) para ensayo de difracción de rayos X con cuantificación</v>
          </cell>
          <cell r="C235" t="str">
            <v>Proced. Interno</v>
          </cell>
          <cell r="D235" t="str">
            <v>---</v>
          </cell>
          <cell r="E235" t="str">
            <v>c/muestra</v>
          </cell>
          <cell r="F235">
            <v>5.32</v>
          </cell>
        </row>
        <row r="236">
          <cell r="A236">
            <v>197</v>
          </cell>
          <cell r="B236" t="str">
            <v>Chancado de material (0,5 kg) para ensayo de difracción de rayos X con cuantificación</v>
          </cell>
          <cell r="C236" t="str">
            <v>Proced. Interno</v>
          </cell>
          <cell r="D236" t="str">
            <v>---</v>
          </cell>
          <cell r="E236" t="str">
            <v>c/muestra</v>
          </cell>
          <cell r="F236">
            <v>2.66</v>
          </cell>
        </row>
        <row r="237">
          <cell r="A237">
            <v>198</v>
          </cell>
          <cell r="B237" t="str">
            <v>Chancado de material (1,5 kg)</v>
          </cell>
          <cell r="C237" t="str">
            <v>Proced. Interno</v>
          </cell>
          <cell r="D237" t="str">
            <v>---</v>
          </cell>
          <cell r="E237" t="str">
            <v>c/kilo</v>
          </cell>
          <cell r="F237">
            <v>13.3</v>
          </cell>
        </row>
        <row r="238">
          <cell r="A238">
            <v>199</v>
          </cell>
          <cell r="B238" t="str">
            <v>Chancado de material (1,0 kg)</v>
          </cell>
          <cell r="C238" t="str">
            <v>Proced. Interno</v>
          </cell>
          <cell r="D238" t="str">
            <v>---</v>
          </cell>
          <cell r="E238" t="str">
            <v>c/kilo</v>
          </cell>
          <cell r="F238">
            <v>5.32</v>
          </cell>
        </row>
        <row r="239">
          <cell r="A239">
            <v>200</v>
          </cell>
          <cell r="B239" t="str">
            <v>Chancado de material (0,5 kg)</v>
          </cell>
          <cell r="C239" t="str">
            <v>Proced. Interno</v>
          </cell>
          <cell r="D239" t="str">
            <v>---</v>
          </cell>
          <cell r="E239" t="str">
            <v>c/kilo</v>
          </cell>
          <cell r="F239">
            <v>2.9</v>
          </cell>
        </row>
        <row r="240">
          <cell r="A240">
            <v>201</v>
          </cell>
          <cell r="B240" t="str">
            <v>Determinación de Minerales Pesados mediante FRX (muestra sólida o bajo malla #200)</v>
          </cell>
          <cell r="C240" t="str">
            <v>Proced. Interno</v>
          </cell>
          <cell r="D240" t="str">
            <v>---</v>
          </cell>
          <cell r="E240" t="str">
            <v>c/muestra</v>
          </cell>
          <cell r="F240">
            <v>4.1100000000000003</v>
          </cell>
        </row>
        <row r="241">
          <cell r="A241">
            <v>202</v>
          </cell>
          <cell r="B241" t="str">
            <v>Análisis Granulométrico Difracción Laser (Partículas desde 0.02µm hasta 2000µm)</v>
          </cell>
          <cell r="C241" t="str">
            <v>Proced. Interno</v>
          </cell>
          <cell r="D241" t="str">
            <v>---</v>
          </cell>
          <cell r="E241" t="str">
            <v>c/muestra</v>
          </cell>
          <cell r="F241">
            <v>3.2</v>
          </cell>
        </row>
        <row r="242">
          <cell r="A242">
            <v>203</v>
          </cell>
          <cell r="B242" t="str">
            <v>Ensayo de Erosionabilidad (Jar Slake)</v>
          </cell>
          <cell r="C242" t="str">
            <v>Proced. Interno
(LANDSLIDES: INVESTIGATION AND MITIGATION. CHAPTER 21 - SHALES AND OTHER DEGRADABLE MATERIALS, 1996)</v>
          </cell>
          <cell r="D242" t="str">
            <v>---</v>
          </cell>
          <cell r="E242" t="str">
            <v>c/u</v>
          </cell>
          <cell r="F242">
            <v>2</v>
          </cell>
        </row>
        <row r="243">
          <cell r="A243">
            <v>204</v>
          </cell>
          <cell r="B243" t="str">
            <v>Determinación Índice Schimazek
Considera:
- Ensayo Tracción indirecta, método brasileño.
- Preparación de corte transparente y análisis mineralógico microscópico (incluye determinación de contenido de cuarzo equivalente a minerales abrasivos).
- Determinación Índice de abrasividad Schimazek.</v>
          </cell>
          <cell r="C243" t="str">
            <v>Proc. Interno</v>
          </cell>
          <cell r="D243" t="str">
            <v>---</v>
          </cell>
          <cell r="E243" t="str">
            <v>c/u</v>
          </cell>
          <cell r="F243">
            <v>9.1999999999999993</v>
          </cell>
        </row>
        <row r="244">
          <cell r="A244">
            <v>205</v>
          </cell>
          <cell r="B244" t="str">
            <v>Determinación Índice de abrasividad de la roca (RAI)
Considera:
- Ensayo de Compresión Uniaxial Simple (UCS)
- Preparación de corte transparente y análisis mineralógico microscópico (incluye determinación de contenido de cuarzo equivalente a minerales abrasivos).
- Determinación Índice de abrasividad de la roca (RAI).</v>
          </cell>
          <cell r="C244" t="str">
            <v>Proc. Interno</v>
          </cell>
          <cell r="D244" t="str">
            <v>---</v>
          </cell>
          <cell r="E244" t="str">
            <v>c/u</v>
          </cell>
          <cell r="F244">
            <v>12.1</v>
          </cell>
        </row>
        <row r="245">
          <cell r="A245">
            <v>206</v>
          </cell>
          <cell r="B245" t="str">
            <v>Preparación de muestra grado 1 para desgaste de los Ángeles</v>
          </cell>
          <cell r="C245" t="str">
            <v>Proced. Interno</v>
          </cell>
          <cell r="D245" t="str">
            <v>---</v>
          </cell>
          <cell r="E245" t="str">
            <v>c/muestra</v>
          </cell>
          <cell r="F245">
            <v>6</v>
          </cell>
        </row>
        <row r="246">
          <cell r="A246">
            <v>207</v>
          </cell>
          <cell r="B246" t="str">
            <v>Petrografía de áridos  (incluye fracción gruesa de 3/8"a 2"  y fracción fina de malla N°200 a Malla N°4). Considera petrografía y preparación de 6 cortes transparentes para la fracción fina.</v>
          </cell>
          <cell r="C246" t="str">
            <v>Norma: ASTM C295/C295M − 19EN 932-3</v>
          </cell>
          <cell r="D246">
            <v>80</v>
          </cell>
          <cell r="E246" t="str">
            <v>c/u</v>
          </cell>
          <cell r="F246">
            <v>65</v>
          </cell>
        </row>
        <row r="247">
          <cell r="A247">
            <v>208</v>
          </cell>
          <cell r="B247" t="str">
            <v>Petrografía en áridos - Fracción gruesa (3/8" - 2")</v>
          </cell>
          <cell r="C247" t="str">
            <v>Norma: ASTM C295/C295M − 19EN 932-4</v>
          </cell>
          <cell r="D247" t="str">
            <v>---</v>
          </cell>
          <cell r="E247" t="str">
            <v>c/u</v>
          </cell>
          <cell r="F247">
            <v>15</v>
          </cell>
        </row>
        <row r="248">
          <cell r="A248">
            <v>209</v>
          </cell>
          <cell r="B248" t="str">
            <v>Petrografía en áridos - Fracción fina (Malla N°200 - Malla N°4) / Considera petrografía y preparación de 6 cortes transparentes</v>
          </cell>
          <cell r="C248" t="str">
            <v>Norma: ASTM C295/C295M − 19EN 932-5</v>
          </cell>
          <cell r="D248" t="str">
            <v>---</v>
          </cell>
          <cell r="E248" t="str">
            <v>c/u</v>
          </cell>
          <cell r="F248">
            <v>50</v>
          </cell>
        </row>
        <row r="249">
          <cell r="A249" t="str">
            <v>III.4</v>
          </cell>
          <cell r="B249" t="str">
            <v>ENSAYOS DE RESISTENCIA (DESTRUCTIVOS)</v>
          </cell>
          <cell r="C249"/>
          <cell r="D249"/>
          <cell r="E249"/>
          <cell r="F249"/>
        </row>
        <row r="250">
          <cell r="A250" t="str">
            <v>III.4.1</v>
          </cell>
          <cell r="B250" t="str">
            <v>Compresión Uniaxial</v>
          </cell>
          <cell r="C250"/>
          <cell r="D250"/>
          <cell r="E250"/>
          <cell r="F250"/>
        </row>
        <row r="251">
          <cell r="A251">
            <v>210</v>
          </cell>
          <cell r="B251" t="str">
            <v>Ensaye Compresión Simple en Roca
Incluye Preparación de probetas (corte y refrentado).</v>
          </cell>
          <cell r="C251" t="str">
            <v>Basado en ASTM D7012-23</v>
          </cell>
          <cell r="D251" t="str">
            <v>---</v>
          </cell>
          <cell r="E251" t="str">
            <v>c/probeta</v>
          </cell>
          <cell r="F251">
            <v>4.41</v>
          </cell>
        </row>
        <row r="252">
          <cell r="A252">
            <v>211</v>
          </cell>
          <cell r="B252" t="str">
            <v>Ensaye Compresión Simple con medición de deformación axial y deformación transversal.
Incluye Preparación de probetas (corte y refrentado).</v>
          </cell>
          <cell r="C252" t="str">
            <v>Basado en ASTM D7012-23</v>
          </cell>
          <cell r="D252" t="str">
            <v>---</v>
          </cell>
          <cell r="E252" t="str">
            <v>c/probeta</v>
          </cell>
          <cell r="F252">
            <v>6.48</v>
          </cell>
        </row>
        <row r="253">
          <cell r="A253" t="str">
            <v>III.4.2</v>
          </cell>
          <cell r="B253" t="str">
            <v>Carga Puntual</v>
          </cell>
          <cell r="C253"/>
          <cell r="D253"/>
          <cell r="E253"/>
          <cell r="F253"/>
        </row>
        <row r="254">
          <cell r="A254">
            <v>212</v>
          </cell>
          <cell r="B254" t="str">
            <v>Ensaye Carga Puntual (POINT LOAD TEST) en muestras de colpas .</v>
          </cell>
          <cell r="C254" t="str">
            <v>Basado en ASTM D5731-16</v>
          </cell>
          <cell r="D254" t="str">
            <v>---</v>
          </cell>
          <cell r="E254" t="str">
            <v>c/muestra</v>
          </cell>
          <cell r="F254">
            <v>2.71</v>
          </cell>
        </row>
        <row r="255">
          <cell r="A255">
            <v>213</v>
          </cell>
          <cell r="B255" t="str">
            <v>Ensaye Carga Puntual (POINT LOAD TEST) en 3 segmentos de un testigo de sondaje.</v>
          </cell>
          <cell r="C255" t="str">
            <v>Basado en ASTM D5731-16</v>
          </cell>
          <cell r="D255" t="str">
            <v>---</v>
          </cell>
          <cell r="E255" t="str">
            <v>gl.</v>
          </cell>
          <cell r="F255">
            <v>1.35</v>
          </cell>
        </row>
        <row r="256">
          <cell r="A256" t="str">
            <v>III.4.3</v>
          </cell>
          <cell r="B256" t="str">
            <v>Compresión Triaxial</v>
          </cell>
          <cell r="C256"/>
          <cell r="D256"/>
          <cell r="E256"/>
          <cell r="F256"/>
        </row>
        <row r="257">
          <cell r="A257">
            <v>214</v>
          </cell>
          <cell r="B257" t="str">
            <v>Triaxial sin medición de deformación - Probetas en diámetro HQ
Incluye Preparación de probetas (corte y refrentado).</v>
          </cell>
          <cell r="C257" t="str">
            <v>Basado en ASTM D7012-23</v>
          </cell>
          <cell r="D257" t="str">
            <v>---</v>
          </cell>
          <cell r="E257" t="str">
            <v>c/probeta</v>
          </cell>
          <cell r="F257">
            <v>5.36</v>
          </cell>
        </row>
        <row r="258">
          <cell r="A258">
            <v>215</v>
          </cell>
          <cell r="B258" t="str">
            <v>Triaxial con medición de deformación axial y deformación transversal - Probetas en diámetro HQ.
Incluye Preparación de probetas (corte y refrentado).</v>
          </cell>
          <cell r="C258" t="str">
            <v>Basado en ASTM D7012-23</v>
          </cell>
          <cell r="D258" t="str">
            <v>---</v>
          </cell>
          <cell r="E258" t="str">
            <v>c/probeta</v>
          </cell>
          <cell r="F258">
            <v>7.5</v>
          </cell>
        </row>
        <row r="259">
          <cell r="A259">
            <v>216</v>
          </cell>
          <cell r="B259" t="str">
            <v>Triaxial en roca - sin medición de deformación - Probetas en diámetro PQ (83mm)
Incluye Preparación de probetas (corte y refrentado).</v>
          </cell>
          <cell r="C259" t="str">
            <v>Basado en ASTM D7012-23</v>
          </cell>
          <cell r="D259" t="str">
            <v>---</v>
          </cell>
          <cell r="E259" t="str">
            <v>c/probeta</v>
          </cell>
          <cell r="F259">
            <v>9.636000000000001</v>
          </cell>
        </row>
        <row r="260">
          <cell r="A260">
            <v>217</v>
          </cell>
          <cell r="B260" t="str">
            <v>Triaxial en roca - con medición de deformación axial y deformación transversal - Probetas en diámetro PQ (83mm)
Incluye Preparación de probetas (corte y refrentado).</v>
          </cell>
          <cell r="C260" t="str">
            <v>Basado en ASTM D7012-23</v>
          </cell>
          <cell r="D260" t="str">
            <v>---</v>
          </cell>
          <cell r="E260" t="str">
            <v>c/probeta</v>
          </cell>
          <cell r="F260">
            <v>11</v>
          </cell>
        </row>
        <row r="261">
          <cell r="A261" t="str">
            <v>III.4.4</v>
          </cell>
          <cell r="B261" t="str">
            <v>Corte Directo</v>
          </cell>
          <cell r="C261"/>
          <cell r="D261"/>
          <cell r="E261"/>
          <cell r="F261"/>
        </row>
        <row r="262">
          <cell r="A262">
            <v>218</v>
          </cell>
          <cell r="B262" t="str">
            <v>Ensaye Corte HOEK con Planos Orientados. Ensayo de 3 pasos, con incremento de carga normal. Considera: 1 Discontinuidad ensayada tres veces, incluye preparación de probeta: Corte y molde del ensayo.</v>
          </cell>
          <cell r="C262" t="str">
            <v>Basado en ASTM D5607-08</v>
          </cell>
          <cell r="D262" t="str">
            <v>---</v>
          </cell>
          <cell r="E262" t="str">
            <v>serie 3 puntos</v>
          </cell>
          <cell r="F262">
            <v>7.58</v>
          </cell>
        </row>
        <row r="263">
          <cell r="A263" t="str">
            <v>III.4.5</v>
          </cell>
          <cell r="B263" t="str">
            <v>Tracción</v>
          </cell>
          <cell r="C263"/>
          <cell r="D263"/>
          <cell r="E263"/>
          <cell r="F263"/>
        </row>
        <row r="264">
          <cell r="A264">
            <v>219</v>
          </cell>
          <cell r="B264" t="str">
            <v>Ensaye Tracción Indirecta, Método Brasileño (3 discos).</v>
          </cell>
          <cell r="C264" t="str">
            <v>Basado en ASTM D3967-08</v>
          </cell>
          <cell r="D264" t="str">
            <v>---</v>
          </cell>
          <cell r="E264" t="str">
            <v>c/probeta</v>
          </cell>
          <cell r="F264">
            <v>1.42</v>
          </cell>
        </row>
        <row r="265">
          <cell r="A265">
            <v>220</v>
          </cell>
          <cell r="B265" t="str">
            <v>Ensaye Tracción Directa</v>
          </cell>
          <cell r="C265" t="str">
            <v>Basado en ASTM D2936-08</v>
          </cell>
          <cell r="D265" t="str">
            <v>---</v>
          </cell>
          <cell r="E265" t="str">
            <v>c/probeta</v>
          </cell>
          <cell r="F265">
            <v>3.8</v>
          </cell>
        </row>
        <row r="266">
          <cell r="A266" t="str">
            <v>III.4.6</v>
          </cell>
          <cell r="B266" t="str">
            <v>Desgaste</v>
          </cell>
          <cell r="C266"/>
          <cell r="D266"/>
          <cell r="E266"/>
          <cell r="F266"/>
        </row>
        <row r="267">
          <cell r="A267">
            <v>221</v>
          </cell>
          <cell r="B267" t="str">
            <v>Ensaye de Desgaste, SLAKE DURABILITY.</v>
          </cell>
          <cell r="C267" t="str">
            <v>Basado en ASTM D4644-08</v>
          </cell>
          <cell r="D267" t="str">
            <v>---</v>
          </cell>
          <cell r="E267" t="str">
            <v>c/muestra</v>
          </cell>
          <cell r="F267">
            <v>3.07</v>
          </cell>
        </row>
        <row r="268">
          <cell r="A268">
            <v>222</v>
          </cell>
          <cell r="B268" t="str">
            <v>Ensaye de Abrasividad, Método CERCHAR (CAI Index).</v>
          </cell>
          <cell r="C268" t="str">
            <v>Basado en ASTM D7625-22</v>
          </cell>
          <cell r="D268" t="str">
            <v>---</v>
          </cell>
          <cell r="E268" t="str">
            <v>c/muestra</v>
          </cell>
          <cell r="F268">
            <v>10.48</v>
          </cell>
        </row>
        <row r="269">
          <cell r="A269">
            <v>223</v>
          </cell>
          <cell r="B269" t="str">
            <v>Fragmentación por saturación de Etilenglicol. 
Descripción Visual a 0-1-5-10-15-20-30 días.</v>
          </cell>
          <cell r="C269" t="str">
            <v>Proced. Interno</v>
          </cell>
          <cell r="D269" t="str">
            <v>---</v>
          </cell>
          <cell r="E269" t="str">
            <v>c/muestra</v>
          </cell>
          <cell r="F269">
            <v>8.65</v>
          </cell>
        </row>
        <row r="270">
          <cell r="A270" t="str">
            <v>IV</v>
          </cell>
          <cell r="B270" t="str">
            <v>ENSAYOS ÁRIDOS (DHI)</v>
          </cell>
          <cell r="C270"/>
          <cell r="D270"/>
          <cell r="E270"/>
          <cell r="F270"/>
        </row>
        <row r="271">
          <cell r="A271" t="str">
            <v>IV.1</v>
          </cell>
          <cell r="B271" t="str">
            <v>Ensayos físicos de áridos</v>
          </cell>
          <cell r="C271"/>
          <cell r="D271"/>
          <cell r="E271"/>
          <cell r="F271"/>
        </row>
        <row r="272">
          <cell r="A272">
            <v>224</v>
          </cell>
          <cell r="B272" t="str">
            <v>(c) Granulometría áridos gruesos o finos</v>
          </cell>
          <cell r="C272" t="str">
            <v>NCh 165:2009</v>
          </cell>
          <cell r="D272">
            <v>16</v>
          </cell>
          <cell r="E272" t="str">
            <v>c/muestra</v>
          </cell>
          <cell r="F272">
            <v>1.55</v>
          </cell>
        </row>
        <row r="273">
          <cell r="A273">
            <v>225</v>
          </cell>
          <cell r="B273" t="str">
            <v>(c) Finos por lavado menor a 0,080 mm, áridos gruesos o finos.</v>
          </cell>
          <cell r="C273" t="str">
            <v>Ensayo acreditado bajo INN LE-304 según norma:
NCh 1223 Of.77</v>
          </cell>
          <cell r="D273">
            <v>25</v>
          </cell>
          <cell r="E273" t="str">
            <v>c/muestra</v>
          </cell>
          <cell r="F273">
            <v>0.61</v>
          </cell>
        </row>
        <row r="274">
          <cell r="A274">
            <v>226</v>
          </cell>
          <cell r="B274" t="str">
            <v xml:space="preserve">(c) Densidades reales (seca, sss y neta) y absorción, áridos gruesos  </v>
          </cell>
          <cell r="C274" t="str">
            <v>NCh 11171:2010</v>
          </cell>
          <cell r="D274">
            <v>10</v>
          </cell>
          <cell r="E274" t="str">
            <v>c/muestra</v>
          </cell>
          <cell r="F274">
            <v>1.2</v>
          </cell>
        </row>
        <row r="275">
          <cell r="A275">
            <v>227</v>
          </cell>
          <cell r="B275" t="str">
            <v xml:space="preserve">(c) Densidades reales (seca, sss y neta) y absorción, áridos finos  </v>
          </cell>
          <cell r="C275" t="str">
            <v xml:space="preserve">
NCh1239-2009</v>
          </cell>
          <cell r="D275">
            <v>3</v>
          </cell>
          <cell r="E275" t="str">
            <v>c/muestra</v>
          </cell>
          <cell r="F275">
            <v>2.42</v>
          </cell>
        </row>
        <row r="276">
          <cell r="A276">
            <v>228</v>
          </cell>
          <cell r="B276" t="str">
            <v xml:space="preserve">(c) Densidades aparentes (suelta y compactada), áridos gruesos o finos.  </v>
          </cell>
          <cell r="C276" t="str">
            <v>NCh 1116:2008</v>
          </cell>
          <cell r="D276">
            <v>60</v>
          </cell>
          <cell r="E276" t="str">
            <v>c/muestra</v>
          </cell>
          <cell r="F276">
            <v>1.42</v>
          </cell>
        </row>
        <row r="277">
          <cell r="A277">
            <v>229</v>
          </cell>
          <cell r="B277" t="str">
            <v>(c) Resistencia al desgaste - Método de Los Ángeles, áridos gruesos</v>
          </cell>
          <cell r="C277" t="str">
            <v>Ensayo acreditado bajo INN LE-304 según norma:
NCh.1369-2010</v>
          </cell>
          <cell r="D277">
            <v>16</v>
          </cell>
          <cell r="E277" t="str">
            <v>c/muestra</v>
          </cell>
          <cell r="F277">
            <v>2.69</v>
          </cell>
        </row>
        <row r="278">
          <cell r="A278">
            <v>230</v>
          </cell>
          <cell r="B278" t="str">
            <v>(c) Determinación de partículas desmenuzables, áridos gruesos o finos</v>
          </cell>
          <cell r="C278" t="str">
            <v>NCh 1327:79</v>
          </cell>
          <cell r="D278">
            <v>15</v>
          </cell>
          <cell r="E278" t="str">
            <v>c/muestra</v>
          </cell>
          <cell r="F278">
            <v>1.5</v>
          </cell>
        </row>
        <row r="279">
          <cell r="A279">
            <v>231</v>
          </cell>
          <cell r="B279" t="str">
            <v>(c) Determinación del Coeficiente Volumétrico Medio, áridos gruesos.</v>
          </cell>
          <cell r="C279" t="str">
            <v>NCh 1511:80</v>
          </cell>
          <cell r="D279">
            <v>4</v>
          </cell>
          <cell r="E279" t="str">
            <v>c/muestra</v>
          </cell>
          <cell r="F279">
            <v>2.46</v>
          </cell>
        </row>
        <row r="280">
          <cell r="A280">
            <v>232</v>
          </cell>
          <cell r="B280" t="str">
            <v>(c) Determinación de la Cubicidad de las partículas - chancado, rodado y laja, áridos gruesos.</v>
          </cell>
          <cell r="C280" t="str">
            <v>Ensayo acreditado bajo INN LE-304 según norma:
Método 8.202.6 / Junio 2009 / Manual de Carreteras V.8</v>
          </cell>
          <cell r="D280">
            <v>2</v>
          </cell>
          <cell r="E280" t="str">
            <v>c/muestra</v>
          </cell>
          <cell r="F280">
            <v>2.2599999999999998</v>
          </cell>
        </row>
        <row r="281">
          <cell r="A281">
            <v>233</v>
          </cell>
          <cell r="B281" t="str">
            <v>Resistencia a la Desintegración - Método de los Sulfatos, áridos gruesos o finos</v>
          </cell>
          <cell r="C281" t="str">
            <v>NCh.1328 of.1977</v>
          </cell>
          <cell r="D281">
            <v>10</v>
          </cell>
          <cell r="E281" t="str">
            <v>c/muestra</v>
          </cell>
          <cell r="F281">
            <v>5.54</v>
          </cell>
        </row>
        <row r="282">
          <cell r="A282">
            <v>234</v>
          </cell>
          <cell r="B282" t="str">
            <v>Determinación de Impurezas Orgánicas (árido fino)</v>
          </cell>
          <cell r="C282" t="str">
            <v>ASTM C40/C40-20</v>
          </cell>
          <cell r="D282">
            <v>1</v>
          </cell>
          <cell r="E282" t="str">
            <v>c/u</v>
          </cell>
          <cell r="F282">
            <v>4.72</v>
          </cell>
        </row>
        <row r="283">
          <cell r="A283">
            <v>235</v>
          </cell>
          <cell r="B283" t="str">
            <v>Determinación del Índice de Trituración (tenacidad), para áridos gruesos, por compresión confinada o para áridos finos por impacto confinado.</v>
          </cell>
          <cell r="C283" t="str">
            <v xml:space="preserve">Manual de Carreteras Vol. 8 (MC 8.202.8) </v>
          </cell>
          <cell r="D283">
            <v>25</v>
          </cell>
          <cell r="E283" t="str">
            <v>c/u</v>
          </cell>
          <cell r="F283">
            <v>5.82</v>
          </cell>
        </row>
        <row r="284">
          <cell r="A284">
            <v>236</v>
          </cell>
          <cell r="B284" t="str">
            <v>Equivalente de Arena</v>
          </cell>
          <cell r="C284" t="str">
            <v>NCh 1325:2010</v>
          </cell>
          <cell r="D284">
            <v>1</v>
          </cell>
          <cell r="E284" t="str">
            <v>c/u</v>
          </cell>
          <cell r="F284">
            <v>3.64</v>
          </cell>
        </row>
        <row r="285">
          <cell r="A285" t="str">
            <v>IV.2</v>
          </cell>
          <cell r="B285" t="str">
            <v>Ensayos químicos de áridos</v>
          </cell>
          <cell r="C285"/>
          <cell r="D285"/>
          <cell r="E285"/>
          <cell r="F285"/>
        </row>
        <row r="286">
          <cell r="A286">
            <v>237</v>
          </cell>
          <cell r="B286" t="str">
            <v>Determinación del Contenido de Cloruros (como Cl-) en áridos + Lixiviación</v>
          </cell>
          <cell r="C286" t="str">
            <v>NCh.1444:2010</v>
          </cell>
          <cell r="D286" t="str">
            <v>---</v>
          </cell>
          <cell r="E286" t="str">
            <v>c/muestra</v>
          </cell>
          <cell r="F286">
            <v>2.5</v>
          </cell>
        </row>
        <row r="287">
          <cell r="A287">
            <v>238</v>
          </cell>
          <cell r="B287" t="str">
            <v>Determinación del Contenido de Sulfatos solubles al agua + Lixiviación</v>
          </cell>
          <cell r="C287" t="str">
            <v>NCh.1444:2010</v>
          </cell>
          <cell r="D287" t="str">
            <v>---</v>
          </cell>
          <cell r="E287" t="str">
            <v>c/muestra</v>
          </cell>
          <cell r="F287">
            <v>2.5</v>
          </cell>
        </row>
        <row r="288">
          <cell r="A288">
            <v>239</v>
          </cell>
          <cell r="B288" t="str">
            <v>Determinación del Contenido de Sulfuros (como SO4) + Lixiviación</v>
          </cell>
          <cell r="C288" t="str">
            <v>NCh.1444:2010</v>
          </cell>
          <cell r="D288" t="str">
            <v>---</v>
          </cell>
          <cell r="E288" t="str">
            <v>c/muestra</v>
          </cell>
          <cell r="F288">
            <v>3.89</v>
          </cell>
        </row>
        <row r="289">
          <cell r="A289">
            <v>240</v>
          </cell>
          <cell r="B289" t="str">
            <v>Desintegración Método de los Sulfatos</v>
          </cell>
          <cell r="C289" t="str">
            <v>NCh.1328</v>
          </cell>
          <cell r="D289" t="str">
            <v>---</v>
          </cell>
          <cell r="E289" t="str">
            <v>c/muestra</v>
          </cell>
          <cell r="F289">
            <v>5.54</v>
          </cell>
        </row>
        <row r="290">
          <cell r="A290">
            <v>241</v>
          </cell>
          <cell r="B290" t="str">
            <v>Determinación de Carbonatos en Cal</v>
          </cell>
          <cell r="C290" t="str">
            <v>ASTM C 25-24</v>
          </cell>
          <cell r="D290" t="str">
            <v>---</v>
          </cell>
          <cell r="E290" t="str">
            <v>c/muestra</v>
          </cell>
          <cell r="F290">
            <v>4.63</v>
          </cell>
        </row>
        <row r="291">
          <cell r="A291">
            <v>242</v>
          </cell>
          <cell r="B291" t="str">
            <v>Determinación de las Impurezas orgánicas en suelos y áridos</v>
          </cell>
          <cell r="C291" t="str">
            <v>NCh.166:2009</v>
          </cell>
          <cell r="D291" t="str">
            <v>---</v>
          </cell>
          <cell r="E291" t="str">
            <v>c/muestra</v>
          </cell>
          <cell r="F291">
            <v>1.48</v>
          </cell>
        </row>
        <row r="292">
          <cell r="A292">
            <v>243</v>
          </cell>
          <cell r="B292" t="str">
            <v>Determinación del contenido de carbón y lignito</v>
          </cell>
          <cell r="C292" t="str">
            <v>ASTM C123/C123M-14</v>
          </cell>
          <cell r="D292" t="str">
            <v>---</v>
          </cell>
          <cell r="E292" t="str">
            <v>c/muestra</v>
          </cell>
          <cell r="F292">
            <v>2.6640000000000001</v>
          </cell>
        </row>
        <row r="293">
          <cell r="A293">
            <v>244</v>
          </cell>
          <cell r="B293" t="str">
            <v>Ensayo azul de metileno</v>
          </cell>
          <cell r="C293" t="str">
            <v>NF P 94-068</v>
          </cell>
          <cell r="D293" t="str">
            <v>---</v>
          </cell>
          <cell r="E293" t="str">
            <v>c/muestra</v>
          </cell>
          <cell r="F293">
            <v>6.02</v>
          </cell>
        </row>
        <row r="294">
          <cell r="A294">
            <v>245</v>
          </cell>
          <cell r="B294" t="str">
            <v>Reactividad Álcalis Potencial, método químico</v>
          </cell>
          <cell r="C294" t="str">
            <v>ASTM C 289-07</v>
          </cell>
          <cell r="D294" t="str">
            <v>---</v>
          </cell>
          <cell r="E294" t="str">
            <v>c/muestra</v>
          </cell>
          <cell r="F294">
            <v>9.9239999999999995</v>
          </cell>
        </row>
        <row r="295">
          <cell r="A295">
            <v>246</v>
          </cell>
          <cell r="B295" t="str">
            <v xml:space="preserve">Sales Solubles Totales + Lixiviación </v>
          </cell>
          <cell r="C295" t="str">
            <v>NCh.1444:2010
NCh.416 of.1983</v>
          </cell>
          <cell r="D295" t="str">
            <v>---</v>
          </cell>
          <cell r="E295" t="str">
            <v>c/muestra</v>
          </cell>
          <cell r="F295">
            <v>2.5</v>
          </cell>
        </row>
        <row r="296">
          <cell r="A296" t="str">
            <v>IV.3</v>
          </cell>
          <cell r="B296" t="str">
            <v>Ensayos químicos de suelos</v>
          </cell>
          <cell r="C296"/>
          <cell r="D296"/>
          <cell r="E296"/>
          <cell r="F296"/>
        </row>
        <row r="297">
          <cell r="A297">
            <v>247</v>
          </cell>
          <cell r="B297" t="str">
            <v>Sales Solubles (Suelos)</v>
          </cell>
          <cell r="C297" t="str">
            <v>UNE 103205</v>
          </cell>
          <cell r="D297" t="str">
            <v>---</v>
          </cell>
          <cell r="E297" t="str">
            <v>c/muestra</v>
          </cell>
          <cell r="F297">
            <v>2.5</v>
          </cell>
        </row>
        <row r="298">
          <cell r="A298">
            <v>248</v>
          </cell>
          <cell r="B298" t="str">
            <v>PH (Suelos)</v>
          </cell>
          <cell r="C298" t="str">
            <v>ASTM D4972</v>
          </cell>
          <cell r="D298" t="str">
            <v>---</v>
          </cell>
          <cell r="E298" t="str">
            <v>c/muestra</v>
          </cell>
          <cell r="F298">
            <v>3.7</v>
          </cell>
        </row>
        <row r="299">
          <cell r="A299">
            <v>249</v>
          </cell>
          <cell r="B299" t="str">
            <v>Cloruros y sulfatos con preparación de muestras</v>
          </cell>
          <cell r="C299" t="str">
            <v>Ensayo acreditado bajo INN LE-304 según norma:
Soxhlet y NCh 1444/1. Of2010</v>
          </cell>
          <cell r="D299" t="str">
            <v>---</v>
          </cell>
          <cell r="E299" t="str">
            <v>c/muestra</v>
          </cell>
          <cell r="F299">
            <v>5</v>
          </cell>
        </row>
        <row r="300">
          <cell r="A300">
            <v>250</v>
          </cell>
          <cell r="B300" t="str">
            <v>Cloruros (Suelos)</v>
          </cell>
          <cell r="C300" t="str">
            <v>Ensayo acreditado bajo INN LE-304 según norma:
Soxhlet y NCh 1444/1. Of2010</v>
          </cell>
          <cell r="D300" t="str">
            <v>---</v>
          </cell>
          <cell r="E300" t="str">
            <v>c/muestra</v>
          </cell>
          <cell r="F300">
            <v>2.5</v>
          </cell>
        </row>
        <row r="301">
          <cell r="A301">
            <v>251</v>
          </cell>
          <cell r="B301" t="str">
            <v>Sulfatos (Suelos)</v>
          </cell>
          <cell r="C301" t="str">
            <v>Ensayo acreditado bajo INN LE-304 según norma:
Soxhlet y NCh 1444/1. Of2010</v>
          </cell>
          <cell r="D301" t="str">
            <v>---</v>
          </cell>
          <cell r="E301" t="str">
            <v>c/muestra</v>
          </cell>
          <cell r="F301">
            <v>2.5</v>
          </cell>
        </row>
        <row r="302">
          <cell r="A302">
            <v>252</v>
          </cell>
          <cell r="B302" t="str">
            <v>Sales solubles con preparación de muestras</v>
          </cell>
          <cell r="C302" t="str">
            <v>Ensayo acreditado bajo INN LE-304 según norma:
Soxhlet y NCh 1444/1. Of2010</v>
          </cell>
          <cell r="D302" t="str">
            <v>---</v>
          </cell>
          <cell r="E302" t="str">
            <v>c/muestra</v>
          </cell>
          <cell r="F302">
            <v>2.5</v>
          </cell>
        </row>
        <row r="303">
          <cell r="A303">
            <v>253</v>
          </cell>
          <cell r="B303" t="str">
            <v>Sales solubles, Cloruros y sulfatos con preparación de muestras</v>
          </cell>
          <cell r="C303" t="str">
            <v>Ensayo acreditado bajo INN LE-304 según norma:
Soxhlet y NCh 1444/1. Of2010</v>
          </cell>
          <cell r="D303" t="str">
            <v>---</v>
          </cell>
          <cell r="E303" t="str">
            <v>c/muestra</v>
          </cell>
          <cell r="F303">
            <v>7.5</v>
          </cell>
        </row>
        <row r="304">
          <cell r="A304">
            <v>254</v>
          </cell>
          <cell r="B304" t="str">
            <v>Materia Orgánica Cualitativa</v>
          </cell>
          <cell r="C304" t="str">
            <v>ASTM D2974</v>
          </cell>
          <cell r="D304" t="str">
            <v>---</v>
          </cell>
          <cell r="E304" t="str">
            <v>c/muestra</v>
          </cell>
          <cell r="F304">
            <v>2.84</v>
          </cell>
        </row>
        <row r="305">
          <cell r="A305">
            <v>255</v>
          </cell>
          <cell r="B305" t="str">
            <v>Materia Orgánica Cuantitativa</v>
          </cell>
          <cell r="C305" t="str">
            <v>ASTM D2974</v>
          </cell>
          <cell r="D305" t="str">
            <v>---</v>
          </cell>
          <cell r="E305" t="str">
            <v>c/muestra</v>
          </cell>
          <cell r="F305">
            <v>3.2639999999999998</v>
          </cell>
        </row>
        <row r="306">
          <cell r="A306">
            <v>256</v>
          </cell>
          <cell r="B306" t="str">
            <v>Porcentaje de cenizas</v>
          </cell>
          <cell r="C306" t="str">
            <v>ASTM D2974</v>
          </cell>
          <cell r="D306" t="str">
            <v>---</v>
          </cell>
          <cell r="E306" t="str">
            <v>c/muestra</v>
          </cell>
          <cell r="F306">
            <v>3.67</v>
          </cell>
        </row>
        <row r="307">
          <cell r="A307" t="str">
            <v>IV.4</v>
          </cell>
          <cell r="B307" t="str">
            <v>Ensayos químicos de agua para amasado</v>
          </cell>
          <cell r="C307"/>
          <cell r="D307"/>
          <cell r="E307"/>
          <cell r="F307"/>
        </row>
        <row r="308">
          <cell r="A308">
            <v>257</v>
          </cell>
          <cell r="B308" t="str">
            <v>Set de ensayos agua de amasado según norma</v>
          </cell>
          <cell r="C308" t="str">
            <v>NCh 1498</v>
          </cell>
          <cell r="D308" t="str">
            <v>---</v>
          </cell>
          <cell r="E308" t="str">
            <v>c/muestra</v>
          </cell>
          <cell r="F308">
            <v>10.34</v>
          </cell>
        </row>
        <row r="309">
          <cell r="A309">
            <v>258</v>
          </cell>
          <cell r="B309" t="str">
            <v>pH (Agua para amasado)</v>
          </cell>
          <cell r="C309" t="str">
            <v>NCh 413</v>
          </cell>
          <cell r="D309" t="str">
            <v>---</v>
          </cell>
          <cell r="E309" t="str">
            <v>c/muestra</v>
          </cell>
          <cell r="F309">
            <v>1.47</v>
          </cell>
        </row>
        <row r="310">
          <cell r="A310">
            <v>259</v>
          </cell>
          <cell r="B310" t="str">
            <v>Cloruros (Agua para amasado)</v>
          </cell>
          <cell r="C310" t="str">
            <v>NCh 1498</v>
          </cell>
          <cell r="D310" t="str">
            <v>---</v>
          </cell>
          <cell r="E310" t="str">
            <v>c/muestra</v>
          </cell>
          <cell r="F310">
            <v>2.56</v>
          </cell>
        </row>
        <row r="311">
          <cell r="A311">
            <v>260</v>
          </cell>
          <cell r="B311" t="str">
            <v>Sulfatos (Agua para amasado)</v>
          </cell>
          <cell r="C311" t="str">
            <v>NCh 1498</v>
          </cell>
          <cell r="D311" t="str">
            <v>---</v>
          </cell>
          <cell r="E311" t="str">
            <v>c/muestra</v>
          </cell>
          <cell r="F311">
            <v>2.5299999999999998</v>
          </cell>
        </row>
        <row r="312">
          <cell r="A312">
            <v>261</v>
          </cell>
          <cell r="B312" t="str">
            <v>Sólidos en suspensión</v>
          </cell>
          <cell r="C312" t="str">
            <v>NCh 416</v>
          </cell>
          <cell r="D312" t="str">
            <v>---</v>
          </cell>
          <cell r="E312" t="str">
            <v>c/muestra</v>
          </cell>
          <cell r="F312">
            <v>2.5299999999999998</v>
          </cell>
        </row>
        <row r="313">
          <cell r="A313">
            <v>262</v>
          </cell>
          <cell r="B313" t="str">
            <v>Sólidos disueltos</v>
          </cell>
          <cell r="C313" t="str">
            <v>NCh 416</v>
          </cell>
          <cell r="D313" t="str">
            <v>---</v>
          </cell>
          <cell r="E313" t="str">
            <v>c/muestra</v>
          </cell>
          <cell r="F313">
            <v>2.56</v>
          </cell>
        </row>
        <row r="314">
          <cell r="A314">
            <v>263</v>
          </cell>
          <cell r="B314" t="str">
            <v>Materia orgánica</v>
          </cell>
          <cell r="C314" t="str">
            <v>NCh 1498</v>
          </cell>
          <cell r="D314" t="str">
            <v>---</v>
          </cell>
          <cell r="E314" t="str">
            <v>c/muestra</v>
          </cell>
          <cell r="F314">
            <v>1.7</v>
          </cell>
        </row>
        <row r="315">
          <cell r="A315" t="str">
            <v>IV.5</v>
          </cell>
          <cell r="B315" t="str">
            <v>Ensayos químicos especiales</v>
          </cell>
          <cell r="C315"/>
          <cell r="D315"/>
          <cell r="E315"/>
          <cell r="F315"/>
        </row>
        <row r="316">
          <cell r="A316">
            <v>264</v>
          </cell>
          <cell r="B316" t="str">
            <v>Carbonatos en Cal</v>
          </cell>
          <cell r="C316" t="str">
            <v>ASTM C25</v>
          </cell>
          <cell r="D316" t="str">
            <v>---</v>
          </cell>
          <cell r="E316" t="str">
            <v>c/muestra</v>
          </cell>
          <cell r="F316">
            <v>3.26</v>
          </cell>
        </row>
        <row r="317">
          <cell r="A317">
            <v>265</v>
          </cell>
          <cell r="B317" t="str">
            <v>Contenido de un elemento: Magnesio o Sodio o Potasio o Hierro o Manganeso o Aluminio o Sílice o Cal Libre o Calcio</v>
          </cell>
          <cell r="C317" t="str">
            <v>NCh 147 - ASTM C114</v>
          </cell>
          <cell r="D317" t="str">
            <v>---</v>
          </cell>
          <cell r="E317" t="str">
            <v>c/muestra</v>
          </cell>
          <cell r="F317">
            <v>3.2</v>
          </cell>
        </row>
        <row r="318">
          <cell r="A318">
            <v>266</v>
          </cell>
          <cell r="B318" t="str">
            <v>Penetración Cloruros</v>
          </cell>
          <cell r="C318" t="str">
            <v>ASTM C1208</v>
          </cell>
          <cell r="D318" t="str">
            <v>---</v>
          </cell>
          <cell r="E318" t="str">
            <v>c/muestra</v>
          </cell>
          <cell r="F318">
            <v>17.77</v>
          </cell>
        </row>
        <row r="319">
          <cell r="A319">
            <v>267</v>
          </cell>
          <cell r="B319" t="str">
            <v>Cloruros en áridos método en agua</v>
          </cell>
          <cell r="C319" t="str">
            <v>ASTM C1524</v>
          </cell>
          <cell r="D319" t="str">
            <v>---</v>
          </cell>
          <cell r="E319" t="str">
            <v>c/muestra</v>
          </cell>
          <cell r="F319">
            <v>16.260000000000002</v>
          </cell>
        </row>
        <row r="320">
          <cell r="A320">
            <v>268</v>
          </cell>
          <cell r="B320" t="str">
            <v>Sulfatos en áridos método ácido</v>
          </cell>
          <cell r="C320" t="str">
            <v>BS812</v>
          </cell>
          <cell r="D320" t="str">
            <v>---</v>
          </cell>
          <cell r="E320" t="str">
            <v>c/muestra</v>
          </cell>
          <cell r="F320">
            <v>6.76</v>
          </cell>
        </row>
        <row r="321">
          <cell r="A321">
            <v>269</v>
          </cell>
          <cell r="B321" t="str">
            <v>Sulfuros</v>
          </cell>
          <cell r="C321" t="str">
            <v>UNE 1774</v>
          </cell>
          <cell r="D321" t="str">
            <v>---</v>
          </cell>
          <cell r="E321" t="str">
            <v>c/muestra</v>
          </cell>
          <cell r="F321">
            <v>7.5903999999999998</v>
          </cell>
        </row>
        <row r="322">
          <cell r="A322" t="str">
            <v>V</v>
          </cell>
          <cell r="B322" t="str">
            <v>ENSAYOS GRANDES PARTÍCULAS</v>
          </cell>
          <cell r="C322"/>
          <cell r="D322"/>
          <cell r="E322"/>
          <cell r="F322"/>
        </row>
        <row r="323">
          <cell r="A323" t="str">
            <v>V.1</v>
          </cell>
          <cell r="B323" t="str">
            <v>TRIAXIALES CIU o CID GRANDES PARTÍCULAS</v>
          </cell>
          <cell r="C323"/>
          <cell r="D323"/>
          <cell r="E323"/>
          <cell r="F323"/>
        </row>
        <row r="324">
          <cell r="A324">
            <v>270</v>
          </cell>
          <cell r="B324" t="str">
            <v>Ensayo Triaxial para grandes partículas
Tipo CIU o CID ( probeta de 100 x 180 cm, tamaño máximo 6”, confinamiento máximo 20 kg/cm2).
Notas: 
Se considera máx. 5 días hábiles de ejecución y corte monotónico.
Se considera material previamente preparado según ítem de preparación de muestras.
El peso de material x probeta informado es referencial y considera bajo 7". El material a enviar para ensayo se debe estimar según las caracteristicas propias del material.</v>
          </cell>
          <cell r="C324" t="str">
            <v>Proced. Interno</v>
          </cell>
          <cell r="D324">
            <v>5000</v>
          </cell>
          <cell r="E324" t="str">
            <v>c/probeta</v>
          </cell>
          <cell r="F324">
            <v>440.28</v>
          </cell>
        </row>
        <row r="325">
          <cell r="A325">
            <v>271</v>
          </cell>
          <cell r="B325" t="str">
            <v>Ensayo triaxial para grandes partículas
Tipo CIU o CID ( probeta de 60 x 120 cm, tamaño máximo 4”, confinamiento máximo 20 kg/cm2).
Notas: 
Se considera máx. 5 días hábiles de ejecución y corte monotónico.
Se considera material previamente preparado según ítem de preparación de muestras.
El peso de material x probeta informado es referencial y considera bajo 4". El material a enviar para ensayo se debe estimar según las caracteristicas propias del material.</v>
          </cell>
          <cell r="C325" t="str">
            <v>Proced. Interno</v>
          </cell>
          <cell r="D325">
            <v>1500</v>
          </cell>
          <cell r="E325" t="str">
            <v>c/probeta</v>
          </cell>
          <cell r="F325">
            <v>308.38</v>
          </cell>
        </row>
        <row r="326">
          <cell r="A326">
            <v>272</v>
          </cell>
          <cell r="B326" t="str">
            <v>Ensayo Triaxial para grandes partículas
Tipo CIU o CID ( probeta de 30 x 60 cm, tamaño máximo 2”, confinamiento máximo 11 kg/cm2).
Notas: 
Se considera máx. 5 días hábiles de ejecución y corte monotónico.
Se considera material previamente preparado según ítem de preparación de muestras.
El peso de material x probeta informado es referencial y considera bajo 2". El material a enviar para ensayo se debe estimar según las caracteristicas propias del material.</v>
          </cell>
          <cell r="C326" t="str">
            <v>Proced. Interno</v>
          </cell>
          <cell r="D326">
            <v>150</v>
          </cell>
          <cell r="E326" t="str">
            <v>c/probeta</v>
          </cell>
          <cell r="F326">
            <v>139.5</v>
          </cell>
        </row>
        <row r="327">
          <cell r="A327">
            <v>273</v>
          </cell>
          <cell r="B327" t="str">
            <v>Preparación de muestra para Triaxial Gigante probeta 100 x 180 cm
Notas
considera máximo 15 toneladas de material, material estimado necesaria para tres probetas.
Preparación de muestras homotéticas hasta malla 1 1/2", bajo este tamiz la muestra se utiliza integral, sin modificación.</v>
          </cell>
          <cell r="C327" t="str">
            <v>Proced. Interno</v>
          </cell>
          <cell r="D327" t="str">
            <v>----</v>
          </cell>
          <cell r="E327" t="str">
            <v>gl.</v>
          </cell>
          <cell r="F327">
            <v>261.36320000000006</v>
          </cell>
        </row>
        <row r="328">
          <cell r="A328">
            <v>274</v>
          </cell>
          <cell r="B328" t="str">
            <v>Preparación de muestra para Triaxial Gigante probeta 60 x 120 cm
Notas
considera máximo 6 toneladas de material, material estimado necesaria para tres probetas.
Preparación de muestras homotéticas hasta malla 1 1/2", bajo este tamiz la muestra se utiliza integral, sin modificación.</v>
          </cell>
          <cell r="C328" t="str">
            <v>Proced. Interno</v>
          </cell>
          <cell r="D328" t="str">
            <v>----</v>
          </cell>
          <cell r="E328" t="str">
            <v>gl.</v>
          </cell>
          <cell r="F328">
            <v>144.44399999999999</v>
          </cell>
        </row>
        <row r="329">
          <cell r="A329">
            <v>275</v>
          </cell>
          <cell r="B329" t="str">
            <v>Preparación de muestra para Triaxial Gigante 30 x 60 cm
Notas
considera máximo 1 toneladas de material, material estimado necesaria para tres probetas.
Preparación de muestras homotéticas hasta malla N°4, bajo este tamiz la muestra se utiliza integral, sin modificación.
Valor para máximos tres probetas.</v>
          </cell>
          <cell r="C329" t="str">
            <v>Proced. Interno</v>
          </cell>
          <cell r="D329" t="str">
            <v>----</v>
          </cell>
          <cell r="E329" t="str">
            <v>gl.</v>
          </cell>
          <cell r="F329">
            <v>36.46</v>
          </cell>
        </row>
        <row r="330">
          <cell r="A330">
            <v>276</v>
          </cell>
          <cell r="B330" t="str">
            <v>Granulometría Post Triaxial Gigante 100 x 180 cm</v>
          </cell>
          <cell r="C330" t="str">
            <v>Proced. Interno</v>
          </cell>
          <cell r="D330" t="str">
            <v>----</v>
          </cell>
          <cell r="E330" t="str">
            <v>c/u</v>
          </cell>
          <cell r="F330">
            <v>36.107999999999997</v>
          </cell>
        </row>
        <row r="331">
          <cell r="A331">
            <v>277</v>
          </cell>
          <cell r="B331" t="str">
            <v>Granulometría Post Triaxial Gigante 60 x 120 cm</v>
          </cell>
          <cell r="C331" t="str">
            <v>Proced. Interno</v>
          </cell>
          <cell r="D331" t="str">
            <v>----</v>
          </cell>
          <cell r="E331" t="str">
            <v>c/u</v>
          </cell>
          <cell r="F331">
            <v>21.456</v>
          </cell>
        </row>
        <row r="332">
          <cell r="A332">
            <v>278</v>
          </cell>
          <cell r="B332" t="str">
            <v>Granulometría Post Triaxial Gigante 30 x 60 cm</v>
          </cell>
          <cell r="C332" t="str">
            <v>Proced. Interno</v>
          </cell>
          <cell r="D332" t="str">
            <v>----</v>
          </cell>
          <cell r="E332" t="str">
            <v>c/u</v>
          </cell>
          <cell r="F332">
            <v>6.15</v>
          </cell>
        </row>
        <row r="333">
          <cell r="A333" t="str">
            <v>V.2</v>
          </cell>
          <cell r="B333" t="str">
            <v>CONSOLIDACIÓN + PERMEABLIDAD GRANDES PARTICULARES</v>
          </cell>
          <cell r="C333"/>
          <cell r="D333"/>
          <cell r="E333"/>
          <cell r="F333"/>
        </row>
        <row r="334">
          <cell r="A334">
            <v>279</v>
          </cell>
          <cell r="B334" t="str">
            <v xml:space="preserve">Ensayo Edométrico de grandes partículas (probeta de 100 cm, tamaño máximo 6", carga vertical máxima 50 kg/cm², con medición de Permeabilidad.
Duración máxima considerada 5 días hábiles. Lunes a Viernes de 8:30 a 17:30 horas
El peso de material x probeta informado es referencial y considera bajo 6". El material a enviar para ensayo se debe estimar según las caracteristicas propias del material..
*En caso de considerar turno nocturno, se cobrará adicional de acuerdo a ítem de personal de fin de semana, feriados y turno nocturno. </v>
          </cell>
          <cell r="C334" t="str">
            <v>Proced. Interno</v>
          </cell>
          <cell r="D334">
            <v>2500</v>
          </cell>
          <cell r="E334" t="str">
            <v>c/probeta</v>
          </cell>
          <cell r="F334">
            <v>310.03199999999998</v>
          </cell>
        </row>
        <row r="335">
          <cell r="A335">
            <v>280</v>
          </cell>
          <cell r="B335" t="str">
            <v>Preparación de muestra para Consolidación Edométrica molde de 100 cm
Notas:
Preparación de muestras homotéticas hasta malla 1 1/2", bajo este tamiz la muestra se utiliza integral, sin modificación.</v>
          </cell>
          <cell r="C335" t="str">
            <v>Proced. Interno</v>
          </cell>
          <cell r="D335" t="str">
            <v>----</v>
          </cell>
          <cell r="E335" t="str">
            <v>c/probeta</v>
          </cell>
          <cell r="F335">
            <v>71.256</v>
          </cell>
        </row>
        <row r="336">
          <cell r="A336">
            <v>281</v>
          </cell>
          <cell r="B336" t="str">
            <v>Día adicional Lunes a Viernes de 8:30 a 17:30 horas (12 horas)</v>
          </cell>
          <cell r="C336" t="str">
            <v>Proced. Interno</v>
          </cell>
          <cell r="D336" t="str">
            <v>----</v>
          </cell>
          <cell r="E336" t="str">
            <v>c/probeta</v>
          </cell>
          <cell r="F336">
            <v>47.124000000000002</v>
          </cell>
        </row>
        <row r="337">
          <cell r="A337">
            <v>282</v>
          </cell>
          <cell r="B337" t="str">
            <v xml:space="preserve">Día adicional fin de samana u Horario nocturno (12 horas) </v>
          </cell>
          <cell r="C337" t="str">
            <v>Proced. Interno</v>
          </cell>
          <cell r="D337" t="str">
            <v>----</v>
          </cell>
          <cell r="E337" t="str">
            <v>gl.</v>
          </cell>
          <cell r="F337">
            <v>62.436</v>
          </cell>
        </row>
        <row r="338">
          <cell r="A338">
            <v>283</v>
          </cell>
          <cell r="B338" t="str">
            <v>Ensayo Edométrico de grandes partículas (probeta de 60 cm, tamaño máximo 4", carga vertical máxima 60 kg/cm², con medición de Permeabilidad, en el ultimo estado de carga..
Duración máxima considerada 5 días hábiles. Semana: Lunes a Viernes de 8:30 a 17:30 horas
El peso de material x probeta informado es referencial y considera bajo 4". El material a enviar para ensayo se debe estimar según las caracteristicas propias del material.</v>
          </cell>
          <cell r="C338" t="str">
            <v>Proced. Interno</v>
          </cell>
          <cell r="D338">
            <v>600</v>
          </cell>
          <cell r="E338" t="str">
            <v>gl.</v>
          </cell>
          <cell r="F338">
            <v>156</v>
          </cell>
        </row>
        <row r="339">
          <cell r="A339">
            <v>284</v>
          </cell>
          <cell r="B339" t="str">
            <v>Preparación de muestra para Consolidación Edométrica molde de 60 cm
Notas:
Preparación de muestras homotéticas hasta malla 1 1/2", bajo este tamiz la muestra se utiliza integral, sin modificación.</v>
          </cell>
          <cell r="C339" t="str">
            <v>Proced. Interno</v>
          </cell>
          <cell r="D339" t="str">
            <v>----</v>
          </cell>
          <cell r="E339" t="str">
            <v>gl.</v>
          </cell>
          <cell r="F339">
            <v>50.291999999999994</v>
          </cell>
        </row>
        <row r="340">
          <cell r="A340">
            <v>285</v>
          </cell>
          <cell r="B340" t="str">
            <v>Día adicional Lunes a Viernes de 8:30 a 17:30 horas (12 horas)</v>
          </cell>
          <cell r="C340" t="str">
            <v>Proced. Interno</v>
          </cell>
          <cell r="D340" t="str">
            <v>----</v>
          </cell>
          <cell r="E340" t="str">
            <v>c/u</v>
          </cell>
          <cell r="F340">
            <v>23.76</v>
          </cell>
        </row>
        <row r="341">
          <cell r="A341">
            <v>286</v>
          </cell>
          <cell r="B341" t="str">
            <v xml:space="preserve">Día adicional fin de samana u Horario nocturno (12 horas) </v>
          </cell>
          <cell r="C341" t="str">
            <v>Proced. Interno</v>
          </cell>
          <cell r="D341" t="str">
            <v>----</v>
          </cell>
          <cell r="E341" t="str">
            <v>c/u</v>
          </cell>
          <cell r="F341">
            <v>35.64</v>
          </cell>
        </row>
        <row r="342">
          <cell r="A342">
            <v>287</v>
          </cell>
          <cell r="B342" t="str">
            <v xml:space="preserve">Granulometría Post Consolidación diámetro 100 cm </v>
          </cell>
          <cell r="C342" t="str">
            <v>Proced. Interno</v>
          </cell>
          <cell r="D342" t="str">
            <v>----</v>
          </cell>
          <cell r="E342" t="str">
            <v>c/u</v>
          </cell>
          <cell r="F342">
            <v>36.107999999999997</v>
          </cell>
        </row>
        <row r="343">
          <cell r="A343">
            <v>288</v>
          </cell>
          <cell r="B343" t="str">
            <v>Granulometría Post Consolidación diámetro 60 cm</v>
          </cell>
          <cell r="C343" t="str">
            <v>Proced. Interno</v>
          </cell>
          <cell r="D343" t="str">
            <v>----</v>
          </cell>
          <cell r="E343" t="str">
            <v>c/u</v>
          </cell>
          <cell r="F343">
            <v>21.66</v>
          </cell>
        </row>
        <row r="344">
          <cell r="A344" t="str">
            <v>V.3</v>
          </cell>
          <cell r="B344" t="str">
            <v>PERMEABILIDAD PARED FLEXIBLE DE GRANDES PARTÍCULAS</v>
          </cell>
          <cell r="C344"/>
          <cell r="D344"/>
          <cell r="E344"/>
          <cell r="F344"/>
        </row>
        <row r="345">
          <cell r="A345">
            <v>289</v>
          </cell>
          <cell r="B345" t="str">
            <v>Ensayo de Permeabilidad Pared Flexible
( probeta de 30 x 60 cm, tamaño máximo 2”, confinamiento máximo 20 kg/cm2).
Nota: Considera material previamente preparado según ítem de preparación de muestras.
El peso de material x probeta informado es referencial y considera bajo 2". El material a enviar para ensayo se debe estimar según las caracteristicas propias del material.</v>
          </cell>
          <cell r="C345" t="str">
            <v>Proced. Interno</v>
          </cell>
          <cell r="D345">
            <v>150</v>
          </cell>
          <cell r="E345" t="str">
            <v>c/probeta</v>
          </cell>
          <cell r="F345">
            <v>128.34</v>
          </cell>
        </row>
        <row r="346">
          <cell r="A346">
            <v>290</v>
          </cell>
          <cell r="B346" t="str">
            <v>Preparación de muestra Probeta 30 x 60 cm
Notas
considera máximo 1 toneladas de material.
Preparación de muestras homotéticas hasta malla 1 1/2", bajo este tamiz la muestra se utiliza integral, sin modificación.</v>
          </cell>
          <cell r="C346" t="str">
            <v>Proced. Interno</v>
          </cell>
          <cell r="D346" t="e">
            <v>#REF!</v>
          </cell>
          <cell r="E346" t="str">
            <v>gl.</v>
          </cell>
          <cell r="F346">
            <v>26.835200000000004</v>
          </cell>
        </row>
        <row r="347">
          <cell r="A347">
            <v>291</v>
          </cell>
          <cell r="B347" t="str">
            <v xml:space="preserve">Ensayo de Permeabilidad durante ejecución de Ensayo Triaxial de Grandes Partículas, en etapa post consolidación previo al corte.
( probeta de 30 x 60 cm, tamaño máximo 2”, confinamiento máximo 20 kg/cm2).
Nota: Considera material previamente preparado según ítem de preparación de muestras
Considera 01 confinamiento </v>
          </cell>
          <cell r="C347" t="str">
            <v>Proced. Interno</v>
          </cell>
          <cell r="D347" t="e">
            <v>#REF!</v>
          </cell>
          <cell r="E347" t="str">
            <v>c/u</v>
          </cell>
          <cell r="F347">
            <v>49</v>
          </cell>
        </row>
        <row r="348">
          <cell r="A348" t="str">
            <v>V.4</v>
          </cell>
          <cell r="B348" t="str">
            <v>PERMEABILIDAD PARED RÍGIDA GRANDES PARTICULARES</v>
          </cell>
          <cell r="C348"/>
          <cell r="D348"/>
          <cell r="E348"/>
          <cell r="F348"/>
        </row>
        <row r="349">
          <cell r="A349">
            <v>292</v>
          </cell>
          <cell r="B349" t="str">
            <v xml:space="preserve">Ensayo Permealidad Pared Rígida de grandes partículas (probeta de 100 cm, tamaño máximo 6")
Duración máxima considerada2 días. Semana: Lunes a Viernes de 8:30 a 17:30 horas
*En caso de considerar turno nocturno, se cobrará adicional de acuerdo a ítem de personal de fin de semana, feriados y turno nocturno. </v>
          </cell>
          <cell r="C349" t="str">
            <v>Proced. Interno</v>
          </cell>
          <cell r="D349">
            <v>2500</v>
          </cell>
          <cell r="E349" t="str">
            <v>c/probeta</v>
          </cell>
          <cell r="F349">
            <v>179.82</v>
          </cell>
        </row>
        <row r="350">
          <cell r="A350">
            <v>293</v>
          </cell>
          <cell r="B350" t="str">
            <v>Preparación de muestra  Permealidad Pared Rígida de grandes partículas molde 100 cm
Notas:
Preparación de muestras homotéticas hasta malla 1 1/2", bajo este tamiz la muestra se utiliza integral, sin modificación.</v>
          </cell>
          <cell r="C350" t="str">
            <v>Proced. Interno</v>
          </cell>
          <cell r="D350" t="str">
            <v>----</v>
          </cell>
          <cell r="E350" t="str">
            <v>c/probeta</v>
          </cell>
          <cell r="F350">
            <v>71.256</v>
          </cell>
        </row>
        <row r="351">
          <cell r="A351">
            <v>294</v>
          </cell>
          <cell r="B351" t="str">
            <v>Día adicional Lunes a Viernes de 8:30 a 17:30 horas (12 horas)</v>
          </cell>
          <cell r="C351" t="str">
            <v>Proced. Interno</v>
          </cell>
          <cell r="D351" t="str">
            <v>--</v>
          </cell>
          <cell r="E351" t="str">
            <v>c/probeta</v>
          </cell>
          <cell r="F351">
            <v>27.323999999999998</v>
          </cell>
        </row>
        <row r="352">
          <cell r="A352">
            <v>295</v>
          </cell>
          <cell r="B352" t="str">
            <v xml:space="preserve">Día adicional fin de samana u Horario nocturno (12 horas) </v>
          </cell>
          <cell r="C352" t="str">
            <v>Proced. Interno</v>
          </cell>
          <cell r="D352" t="str">
            <v>--</v>
          </cell>
          <cell r="E352" t="str">
            <v>gl.</v>
          </cell>
          <cell r="F352">
            <v>40.985999999999997</v>
          </cell>
        </row>
        <row r="353">
          <cell r="A353">
            <v>296</v>
          </cell>
          <cell r="B353" t="str">
            <v xml:space="preserve">Ensayo Permealidad Pared Rígida de grandes partículas  (probeta de 60 cm, tamaño máximo 4")
Duración máxima considerada 2 días. Semana: Lunes a Viernes de 8:30 a 17:30 horas
*En caso de considerar turno nocturno, se cobrará adicional de acuerdo a ítem de personal de fin de semana, feriados y turno nocturno. </v>
          </cell>
          <cell r="C353" t="str">
            <v>Proced. Interno</v>
          </cell>
          <cell r="D353">
            <v>600</v>
          </cell>
          <cell r="E353" t="str">
            <v>gl.</v>
          </cell>
          <cell r="F353">
            <v>126.91200000000001</v>
          </cell>
        </row>
        <row r="354">
          <cell r="A354">
            <v>297</v>
          </cell>
          <cell r="B354" t="str">
            <v>Preparación de muestra  Permealidad Pared Rígida de grandes partículas molde de 60 cm
Notas:
Preparación de muestras homotéticas hasta malla 1 1/2", bajo este tamiz la muestra se utiliza integral, sin modificación.</v>
          </cell>
          <cell r="C354" t="str">
            <v>Proced. Interno</v>
          </cell>
          <cell r="D354" t="str">
            <v>--</v>
          </cell>
          <cell r="E354" t="str">
            <v>gl.</v>
          </cell>
          <cell r="F354">
            <v>50.291999999999994</v>
          </cell>
        </row>
        <row r="355">
          <cell r="A355">
            <v>298</v>
          </cell>
          <cell r="B355" t="str">
            <v>Día adicional Lunes a Viernes de 8:30 a 17:30 horas (12 horas)</v>
          </cell>
          <cell r="C355" t="str">
            <v>Proced. Interno</v>
          </cell>
          <cell r="D355" t="str">
            <v>--</v>
          </cell>
          <cell r="E355" t="str">
            <v>c/u</v>
          </cell>
          <cell r="F355">
            <v>19.290624000000001</v>
          </cell>
        </row>
        <row r="356">
          <cell r="A356">
            <v>299</v>
          </cell>
          <cell r="B356" t="str">
            <v xml:space="preserve">Día adicional fin de samana u Horario nocturno (12 horas) </v>
          </cell>
          <cell r="C356" t="str">
            <v>Proced. Interno</v>
          </cell>
          <cell r="D356" t="str">
            <v>--</v>
          </cell>
          <cell r="E356" t="str">
            <v>c/u</v>
          </cell>
          <cell r="F356">
            <v>28.935936000000002</v>
          </cell>
        </row>
        <row r="357">
          <cell r="A357" t="str">
            <v>V.5</v>
          </cell>
          <cell r="B357" t="str">
            <v>OTROS ENSAYOS GRANDES PARTÍCULAS</v>
          </cell>
          <cell r="C357"/>
          <cell r="D357"/>
          <cell r="E357"/>
          <cell r="F357"/>
        </row>
        <row r="358">
          <cell r="A358">
            <v>300</v>
          </cell>
          <cell r="B358" t="str">
            <v>Punzonamiento Geo-membrana (Molde 100 cm diámetro)ante carga de suelo. Descripción cualitativa. Carga máxima hasta 24 kg/cm2.</v>
          </cell>
          <cell r="C358" t="str">
            <v>Proced. Interno</v>
          </cell>
          <cell r="D358" t="str">
            <v>15 cm de fundación
25 cm de cover
360 kg fund y 600 kg cover</v>
          </cell>
          <cell r="E358" t="str">
            <v>c/u</v>
          </cell>
          <cell r="F358">
            <v>52.800000000000004</v>
          </cell>
        </row>
        <row r="359">
          <cell r="A359">
            <v>301</v>
          </cell>
          <cell r="B359" t="str">
            <v>Densidad máxima y mínima especial con compactador mecánico en molde de 60cm (Método no convencional)</v>
          </cell>
          <cell r="C359" t="str">
            <v>Proced. Interno</v>
          </cell>
          <cell r="D359" t="str">
            <v>---</v>
          </cell>
          <cell r="E359" t="str">
            <v>c/u</v>
          </cell>
          <cell r="F359">
            <v>45.15</v>
          </cell>
        </row>
        <row r="360">
          <cell r="A360" t="str">
            <v>301-1</v>
          </cell>
          <cell r="B360" t="str">
            <v>Densidad máxima y mínima especial con compactador mecánico en molde de 100cm (Método no convencional)</v>
          </cell>
          <cell r="C360"/>
          <cell r="D360"/>
          <cell r="E360"/>
          <cell r="F360">
            <v>89.729836538461527</v>
          </cell>
        </row>
        <row r="361">
          <cell r="A361" t="str">
            <v>Ensayos Nuevos</v>
          </cell>
          <cell r="B361"/>
          <cell r="C361"/>
          <cell r="D361"/>
          <cell r="E361"/>
          <cell r="F361"/>
        </row>
        <row r="362">
          <cell r="A362">
            <v>302</v>
          </cell>
          <cell r="B362" t="str">
            <v>Curva de succión - Material bajo malla N°4, presión maxima 1500 kPa. Se requieren datos de entrada como densidad seca, humedad, tensiones.</v>
          </cell>
          <cell r="C362" t="str">
            <v>Proc. Interno</v>
          </cell>
          <cell r="D362">
            <v>2</v>
          </cell>
          <cell r="E362" t="str">
            <v>c/u</v>
          </cell>
          <cell r="F362">
            <v>3.71</v>
          </cell>
        </row>
        <row r="363">
          <cell r="A363">
            <v>303</v>
          </cell>
          <cell r="B363" t="str">
            <v>Preparación y trituración de muestra con curva granulometríca para ensayo de Corte Directo 30x30</v>
          </cell>
          <cell r="C363" t="str">
            <v>Proc. Interno</v>
          </cell>
          <cell r="D363" t="str">
            <v>---</v>
          </cell>
          <cell r="E363" t="str">
            <v>c/muestra</v>
          </cell>
          <cell r="F363">
            <v>2.52</v>
          </cell>
        </row>
        <row r="364">
          <cell r="A364">
            <v>304</v>
          </cell>
          <cell r="B364" t="str">
            <v>Etapa de Ensayo Triaxial cicleado para grandes partículasTipo CID ( probeta de 100 x 180 cm, tamaño máximo 6”, confinamiento máximo 20 kg/cm2).Nota: Considera horas adicionales para etapa de cicleo.
(complementario al ensayo trixial)</v>
          </cell>
          <cell r="C364" t="str">
            <v>Proc. Interno</v>
          </cell>
          <cell r="D364" t="str">
            <v>---</v>
          </cell>
          <cell r="E364" t="str">
            <v>HH</v>
          </cell>
          <cell r="F364">
            <v>12.535</v>
          </cell>
        </row>
        <row r="365">
          <cell r="A365">
            <v>305</v>
          </cell>
          <cell r="B365" t="str">
            <v>Ensayo Consolidación Isotrópica (Equipo Triaxial). Probeta 5 x 10 cm. Confinamiento hasta 28 kg/cm2. Probeta tallada (muestra natural) o probeta remoldeada (muestra perturbada). Tamaño máximo de partícula: malla N°4 (máx. 5 días hábiles de ejecución)</v>
          </cell>
          <cell r="C365" t="str">
            <v>Proc. Interno</v>
          </cell>
          <cell r="D365">
            <v>2</v>
          </cell>
          <cell r="E365" t="str">
            <v>c/u</v>
          </cell>
          <cell r="F365">
            <v>17.95</v>
          </cell>
        </row>
        <row r="366">
          <cell r="A366">
            <v>306</v>
          </cell>
          <cell r="B366" t="str">
            <v>Día adicional ensayo consolidación isotrópica (Equipo Triaxial). Probeta 5 x 10 cm. Confinamiento hasta 28 kg/cm2</v>
          </cell>
          <cell r="C366" t="str">
            <v>Proc. Interno</v>
          </cell>
          <cell r="D366" t="str">
            <v>---</v>
          </cell>
          <cell r="E366" t="str">
            <v>c/día</v>
          </cell>
          <cell r="F366">
            <v>4.24</v>
          </cell>
        </row>
        <row r="367">
          <cell r="A367">
            <v>307</v>
          </cell>
          <cell r="B367" t="str">
            <v>Determinación de Carbonatos en suelos</v>
          </cell>
          <cell r="C367" t="str">
            <v>Norma BS 1377-3:2018+A1:2021.</v>
          </cell>
          <cell r="D367" t="str">
            <v>---</v>
          </cell>
          <cell r="E367" t="str">
            <v>c/muestra</v>
          </cell>
          <cell r="F367">
            <v>6.9</v>
          </cell>
        </row>
        <row r="368">
          <cell r="A368">
            <v>308</v>
          </cell>
          <cell r="B368" t="str">
            <v>Dia adicional al tiempo máximo de ejecución de ensayo de consolidación 5 cm</v>
          </cell>
          <cell r="C368" t="str">
            <v>---</v>
          </cell>
          <cell r="D368" t="str">
            <v>---</v>
          </cell>
          <cell r="E368" t="str">
            <v>c/día</v>
          </cell>
          <cell r="F368">
            <v>0.64</v>
          </cell>
        </row>
        <row r="369">
          <cell r="A369">
            <v>309</v>
          </cell>
          <cell r="B369" t="str">
            <v>Día adicional de saturación y/o consolidación para ensayo triaxial CIU o CID en probeta 5,0 x 10,0 cm. Confinamiento hasta 6 kg/cm2</v>
          </cell>
          <cell r="C369" t="str">
            <v>Proced. Interno</v>
          </cell>
          <cell r="D369" t="str">
            <v>-</v>
          </cell>
          <cell r="E369" t="str">
            <v>c/día</v>
          </cell>
          <cell r="F369">
            <v>1.98</v>
          </cell>
        </row>
        <row r="370">
          <cell r="A370">
            <v>310</v>
          </cell>
          <cell r="B370" t="str">
            <v>Abertura Shelby o Tallado de Probeta 5x10 cm</v>
          </cell>
          <cell r="C370" t="str">
            <v>Proced. Interno</v>
          </cell>
          <cell r="D370" t="str">
            <v>-</v>
          </cell>
          <cell r="E370" t="str">
            <v>c/muestra</v>
          </cell>
          <cell r="F370">
            <v>2</v>
          </cell>
        </row>
        <row r="371">
          <cell r="A371">
            <v>311</v>
          </cell>
          <cell r="B371" t="str">
            <v>Determinación de Sulfatos en Suelos</v>
          </cell>
          <cell r="C371" t="str">
            <v>según MC Vol 8.202.14</v>
          </cell>
          <cell r="D371" t="str">
            <v>-</v>
          </cell>
          <cell r="E371" t="str">
            <v>c/muestra</v>
          </cell>
          <cell r="F371">
            <v>2.5</v>
          </cell>
        </row>
        <row r="372">
          <cell r="A372">
            <v>312</v>
          </cell>
          <cell r="B372" t="str">
            <v>Determinación de Cloruros en Suelos</v>
          </cell>
          <cell r="C372" t="str">
            <v>según MC Vol 8.202.14</v>
          </cell>
          <cell r="D372" t="str">
            <v>-</v>
          </cell>
          <cell r="E372" t="str">
            <v>c/muestra</v>
          </cell>
          <cell r="F372">
            <v>2.5</v>
          </cell>
        </row>
        <row r="373">
          <cell r="A373">
            <v>313</v>
          </cell>
          <cell r="B373" t="str">
            <v>Análisis EDX: Análisis Químico Elemental por Espectroscopía de Dispersión de Energía. (*) Se requiere muestra pulverizada bajo tamiz #200</v>
          </cell>
          <cell r="C373" t="str">
            <v>Proc. Interno</v>
          </cell>
          <cell r="D373" t="str">
            <v>-</v>
          </cell>
          <cell r="E373" t="str">
            <v xml:space="preserve">c/muestra </v>
          </cell>
          <cell r="F373">
            <v>4.1900000000000004</v>
          </cell>
        </row>
        <row r="374">
          <cell r="A374">
            <v>314</v>
          </cell>
          <cell r="B374" t="str">
            <v>Difracción de rayos X con cuantificación para roca total o suelos y análisis de fracción arcilla mediante preparados orientados. (*) Se requiere muestra pulverizada bajo tamiz #200.</v>
          </cell>
          <cell r="C374" t="str">
            <v>Proc. Interno</v>
          </cell>
          <cell r="D374" t="str">
            <v>-</v>
          </cell>
          <cell r="E374" t="str">
            <v>c/muestra</v>
          </cell>
          <cell r="F374">
            <v>15</v>
          </cell>
        </row>
        <row r="375">
          <cell r="A375">
            <v>315</v>
          </cell>
          <cell r="B375" t="str">
            <v>Compresión No Confinada en muestra de suelos-cemento. Probeta 15,0 x 30,0 cm</v>
          </cell>
          <cell r="C375" t="str">
            <v>según norma:
ASTM D2166/D2166M-24</v>
          </cell>
          <cell r="D375" t="str">
            <v>---</v>
          </cell>
          <cell r="E375" t="str">
            <v>c/probeta</v>
          </cell>
          <cell r="F375">
            <v>5.22</v>
          </cell>
        </row>
        <row r="376">
          <cell r="A376">
            <v>316</v>
          </cell>
          <cell r="B376" t="str">
            <v xml:space="preserve">Tallado de muestras 5x10 y 10x20 cm para ensayo en muestras cementadas por sales </v>
          </cell>
          <cell r="C376" t="str">
            <v>Proc. Interno</v>
          </cell>
          <cell r="D376" t="str">
            <v>---</v>
          </cell>
          <cell r="E376" t="str">
            <v>c/probeta</v>
          </cell>
          <cell r="F376">
            <v>2.5</v>
          </cell>
        </row>
        <row r="377">
          <cell r="A377">
            <v>317</v>
          </cell>
          <cell r="B377" t="str">
            <v>Preparacion homotética para probeta de ensayo triaxial 15x30 (cm), se debe evaluar la granulometria previo a la aceptación del trabajo, para su ejecución</v>
          </cell>
          <cell r="C377" t="str">
            <v>---</v>
          </cell>
          <cell r="D377">
            <v>20</v>
          </cell>
          <cell r="E377" t="str">
            <v>c/probeta</v>
          </cell>
          <cell r="F377">
            <v>3</v>
          </cell>
        </row>
        <row r="378">
          <cell r="A378">
            <v>318</v>
          </cell>
          <cell r="B378" t="str">
            <v>Granulometria Post Ensayo</v>
          </cell>
          <cell r="C378" t="str">
            <v>ASTM D422-63 (2007)e1</v>
          </cell>
          <cell r="D378">
            <v>30</v>
          </cell>
          <cell r="E378" t="str">
            <v>c/muestra</v>
          </cell>
          <cell r="F378">
            <v>1.58</v>
          </cell>
        </row>
        <row r="379">
          <cell r="A379">
            <v>319</v>
          </cell>
          <cell r="B379" t="str">
            <v xml:space="preserve">Estudio de Resistividad Térmica, Capacidad Calor Especifico y Difusividad Termica.                                                      Considera medición a una(01) densidad determinada y a cinco (05) contenidos de humedad.                               Considera informe de resultados del comportamiento térmico Dry-Out.                                                                  Nota 1: Tamaño máximo de partícula hasta 3/4"                                                                                                                      Nota 2: Se requieren al menos 6 kilos de material.                                                                                                                  Nota 3: El mandante es responsable de definir la densidad y los contenidos de humedad.                              Nota 4: El ensayo se ejecuta en laboratorio Idiem Santiago                                  </v>
          </cell>
          <cell r="C379" t="str">
            <v>IEEE-442</v>
          </cell>
          <cell r="D379" t="str">
            <v>---</v>
          </cell>
          <cell r="E379" t="str">
            <v>c/u</v>
          </cell>
          <cell r="F379">
            <v>25</v>
          </cell>
        </row>
        <row r="380">
          <cell r="A380">
            <v>320</v>
          </cell>
          <cell r="B380" t="str">
            <v>Preparación de Corte Transparente con tinción.</v>
          </cell>
          <cell r="C380" t="str">
            <v>---</v>
          </cell>
          <cell r="D380" t="str">
            <v>----</v>
          </cell>
          <cell r="E380" t="str">
            <v>c/u</v>
          </cell>
          <cell r="F380">
            <v>4</v>
          </cell>
        </row>
        <row r="381">
          <cell r="A381">
            <v>321</v>
          </cell>
          <cell r="B381" t="str">
            <v>Indice de Expansión (Expansion Index)</v>
          </cell>
          <cell r="C381" t="str">
            <v>ASTM D4829-21</v>
          </cell>
          <cell r="D381" t="str">
            <v>----</v>
          </cell>
          <cell r="E381" t="str">
            <v>c/muestra</v>
          </cell>
          <cell r="F381">
            <v>8</v>
          </cell>
        </row>
        <row r="382">
          <cell r="A382">
            <v>322</v>
          </cell>
          <cell r="B382" t="str">
            <v>Resistividad Térmica. Incluye Conductividad Térmica, Capacidad Calor Especifico y difusividad Térmica. Considera medición a una (01) humedad y/o densidad determinada para rocas</v>
          </cell>
          <cell r="C382" t="str">
            <v>ASTM D5334-22ae1</v>
          </cell>
          <cell r="D382" t="str">
            <v>---</v>
          </cell>
          <cell r="E382" t="str">
            <v>c/probeta</v>
          </cell>
          <cell r="F382">
            <v>11.61</v>
          </cell>
        </row>
        <row r="383">
          <cell r="A383">
            <v>323</v>
          </cell>
          <cell r="B383" t="str">
            <v>Ensayo de Colapso para Suelo (potencial de colapso) bajo una carga.</v>
          </cell>
          <cell r="C383" t="str">
            <v>ASTM D4546, "Standard Test Methods for One-Dimensional Swell or Collapse of Soils." - Metodo B, reemplaza ASTM D5333-03</v>
          </cell>
          <cell r="D383">
            <v>2</v>
          </cell>
          <cell r="E383" t="str">
            <v>c/u</v>
          </cell>
          <cell r="F383">
            <v>7.12</v>
          </cell>
        </row>
        <row r="384">
          <cell r="A384">
            <v>324</v>
          </cell>
          <cell r="B384" t="str">
            <v>Presión de Hinchamiento en roca (Considera un máximo de 10 días hábiles de ejecución de ensayo)</v>
          </cell>
          <cell r="C384" t="str">
            <v>Proced.Interno basado en ASTM D4546-21</v>
          </cell>
          <cell r="D384" t="str">
            <v>---</v>
          </cell>
          <cell r="E384" t="str">
            <v>c/muestra</v>
          </cell>
          <cell r="F384">
            <v>6.62</v>
          </cell>
        </row>
        <row r="385">
          <cell r="A385">
            <v>325</v>
          </cell>
          <cell r="B385" t="str">
            <v>Día adicional de ensayo de presión de hinchamiento</v>
          </cell>
          <cell r="C385" t="str">
            <v>Proced.Interno</v>
          </cell>
          <cell r="D385" t="str">
            <v>---</v>
          </cell>
          <cell r="E385" t="str">
            <v>c/muestra</v>
          </cell>
          <cell r="F385">
            <v>0.6</v>
          </cell>
        </row>
        <row r="386">
          <cell r="A386">
            <v>326</v>
          </cell>
          <cell r="B386" t="str">
            <v>Hinchamiento libre en roca (Considera un máximo de 10 días hábiles de ejecución de ensayo)</v>
          </cell>
          <cell r="C386" t="str">
            <v>Proced.Interno basado en ASTM D4546-21</v>
          </cell>
          <cell r="D386" t="str">
            <v>---</v>
          </cell>
          <cell r="E386" t="str">
            <v>c/muestra</v>
          </cell>
          <cell r="F386">
            <v>5.58</v>
          </cell>
        </row>
        <row r="387">
          <cell r="A387">
            <v>327</v>
          </cell>
          <cell r="B387" t="str">
            <v>Día adicional de ensayo  de hinchamiento libre en roca</v>
          </cell>
          <cell r="C387" t="str">
            <v>Proced.Interno</v>
          </cell>
          <cell r="D387" t="str">
            <v>---</v>
          </cell>
          <cell r="E387" t="str">
            <v>c/muestra</v>
          </cell>
          <cell r="F387">
            <v>0.6</v>
          </cell>
        </row>
        <row r="388">
          <cell r="A388">
            <v>328</v>
          </cell>
          <cell r="B388" t="str">
            <v>CDSS-CU, Corte simple directo cíclico consolidado no drenado en volumen constante, con control de carga. Probeta 63,9 x 19 (mm). Tensión máxim 1400 kPa</v>
          </cell>
          <cell r="C388" t="str">
            <v>ASTM D8296-19</v>
          </cell>
          <cell r="D388">
            <v>0.5</v>
          </cell>
          <cell r="E388" t="str">
            <v>c/probeta</v>
          </cell>
          <cell r="F388">
            <v>28</v>
          </cell>
        </row>
        <row r="389">
          <cell r="A389">
            <v>329</v>
          </cell>
          <cell r="B389" t="str">
            <v>DSS-CU, Corte simple directo consolidado no drenado. Probeta 63,9 x 19 (mm). Tensión máxim 1400 kPa</v>
          </cell>
          <cell r="C389" t="str">
            <v>ASTM D6528-24</v>
          </cell>
          <cell r="D389">
            <v>0.5</v>
          </cell>
          <cell r="E389" t="str">
            <v>c/probeta</v>
          </cell>
          <cell r="F389">
            <v>17</v>
          </cell>
        </row>
        <row r="390">
          <cell r="A390">
            <v>330</v>
          </cell>
          <cell r="B390" t="str">
            <v>Preparación desgaste los angeles</v>
          </cell>
          <cell r="C390" t="str">
            <v>---</v>
          </cell>
          <cell r="D390" t="str">
            <v>---</v>
          </cell>
          <cell r="E390" t="str">
            <v>c/muestra</v>
          </cell>
          <cell r="F390">
            <v>2</v>
          </cell>
        </row>
        <row r="391">
          <cell r="A391">
            <v>331</v>
          </cell>
          <cell r="B391" t="str">
            <v>Limpieza de Material de 1 tonelada y corte en malla 2"</v>
          </cell>
          <cell r="C391" t="str">
            <v>Proced. Interno</v>
          </cell>
          <cell r="D391">
            <v>1000</v>
          </cell>
          <cell r="E391" t="str">
            <v>c/u</v>
          </cell>
          <cell r="F391">
            <v>20</v>
          </cell>
        </row>
        <row r="392">
          <cell r="A392">
            <v>332</v>
          </cell>
          <cell r="B392" t="str">
            <v>Ensaye Triaxial CIU (convencional), probeta 10,0 x 20,0 cm (hasta 6 kg/cm2)
Probeta tallada (muestra natural) o probeta remoldeada (muestra perturbada), con medición de permeabilidad a carga constante (pared flexible).
Material bajo 3/8 pulgada.
Nota 1: Se ejecuta consolidación y se realiza medición de permeabilidad en la misma probeta.
Nota 2: Tiempo de ejecución de ensayos considera 3 días hábiles (2 días de saturación y consolidación y 3ª día etapa de corte hasta máximo 4 horas).</v>
          </cell>
          <cell r="C392" t="str">
            <v>Basado en ASTM D4767-11 (2020)</v>
          </cell>
          <cell r="D392">
            <v>8</v>
          </cell>
          <cell r="E392" t="str">
            <v>c/probeta</v>
          </cell>
          <cell r="F392">
            <v>20.98</v>
          </cell>
        </row>
        <row r="393">
          <cell r="A393">
            <v>333</v>
          </cell>
          <cell r="B393" t="str">
            <v>Día adicional de saturación y/o consolidación para equipo triaxial CIU en probeta 10,0 x 20,0 cm.</v>
          </cell>
          <cell r="C393" t="str">
            <v>Proced. Interno</v>
          </cell>
          <cell r="D393" t="str">
            <v>---</v>
          </cell>
          <cell r="E393" t="str">
            <v>c/día</v>
          </cell>
          <cell r="F393">
            <v>3.05</v>
          </cell>
        </row>
        <row r="394">
          <cell r="A394">
            <v>334</v>
          </cell>
          <cell r="B394" t="str">
            <v>Hora adicional etapa de corte para ensayo triaxial CIU en probeta 10,0 x 20,0 cm.</v>
          </cell>
          <cell r="C394" t="str">
            <v>Proced. Interno</v>
          </cell>
          <cell r="D394" t="str">
            <v>---</v>
          </cell>
          <cell r="E394" t="str">
            <v>c/hora</v>
          </cell>
          <cell r="F394">
            <v>0.8</v>
          </cell>
        </row>
        <row r="395">
          <cell r="A395">
            <v>335</v>
          </cell>
          <cell r="B395" t="str">
            <v>CDSS-CU, Corte simple directo cíclico consolidado no drenado en volumen constante, con control de carga. Probeta 63,9 x 19 (mm). Tensión máxim 1400 kPa. Post Corte Simple directo consolidad no drenado</v>
          </cell>
          <cell r="C395" t="str">
            <v>Proced. Interno</v>
          </cell>
          <cell r="D395">
            <v>0.5</v>
          </cell>
          <cell r="E395" t="str">
            <v>c/probeta</v>
          </cell>
          <cell r="F395">
            <v>38.200000000000003</v>
          </cell>
        </row>
        <row r="396">
          <cell r="A396">
            <v>336</v>
          </cell>
          <cell r="B396" t="str">
            <v>Traslado de muestras geotécnicas / Iquique - Santiago</v>
          </cell>
          <cell r="C396" t="str">
            <v>---</v>
          </cell>
          <cell r="D396" t="str">
            <v>500 kg</v>
          </cell>
          <cell r="E396" t="str">
            <v>c/traslado</v>
          </cell>
          <cell r="F396">
            <v>30</v>
          </cell>
        </row>
        <row r="397">
          <cell r="A397">
            <v>337</v>
          </cell>
          <cell r="B397" t="str">
            <v>Traslado de muestras geotécnicas / Antofagasta - Santiago</v>
          </cell>
          <cell r="C397"/>
          <cell r="D397" t="str">
            <v>100 kg</v>
          </cell>
          <cell r="E397" t="str">
            <v>c/traslado</v>
          </cell>
          <cell r="F397">
            <v>6</v>
          </cell>
        </row>
        <row r="398">
          <cell r="A398">
            <v>338</v>
          </cell>
          <cell r="B398" t="str">
            <v>Servicio especial - Lavado de muestras salinas</v>
          </cell>
          <cell r="C398" t="str">
            <v>---</v>
          </cell>
          <cell r="D398" t="str">
            <v>---</v>
          </cell>
          <cell r="E398" t="str">
            <v xml:space="preserve">c/muestra </v>
          </cell>
          <cell r="F398">
            <v>1</v>
          </cell>
        </row>
        <row r="399">
          <cell r="A399">
            <v>339</v>
          </cell>
          <cell r="B399" t="str">
            <v>Homogenización Tamaño Particula 2", 200 kilos</v>
          </cell>
          <cell r="C399" t="str">
            <v>---</v>
          </cell>
          <cell r="D399" t="str">
            <v>200 kg</v>
          </cell>
          <cell r="E399" t="str">
            <v>c/muestra</v>
          </cell>
          <cell r="F399">
            <v>5</v>
          </cell>
        </row>
        <row r="400">
          <cell r="A400">
            <v>340</v>
          </cell>
          <cell r="B400" t="str">
            <v>Colpaso (hasta 10 kg/cm2), en molde de 15 cm de diámetro, material hasta 3/4 pulgada.
Consideraciones especiales:
1. Considera hasta 3 estados de carga vertical y 2 descargas.
2. Considera un tiempo máximo de ejecución de 15 días hábiles.</v>
          </cell>
          <cell r="C400" t="str">
            <v>Proced. Interno</v>
          </cell>
          <cell r="D400">
            <v>10</v>
          </cell>
          <cell r="E400" t="str">
            <v>c/u</v>
          </cell>
          <cell r="F400">
            <v>11.06</v>
          </cell>
        </row>
        <row r="401">
          <cell r="A401">
            <v>341</v>
          </cell>
          <cell r="B401" t="str">
            <v>Preparación de Muestras</v>
          </cell>
          <cell r="C401" t="str">
            <v>Proced. Interno</v>
          </cell>
          <cell r="D401" t="str">
            <v>---</v>
          </cell>
          <cell r="E401" t="str">
            <v>c/kg</v>
          </cell>
          <cell r="F401">
            <v>0.5</v>
          </cell>
        </row>
        <row r="402">
          <cell r="A402">
            <v>342</v>
          </cell>
          <cell r="B402" t="str">
            <v>Determinación de Contenido de Yeso soluble</v>
          </cell>
          <cell r="C402" t="str">
            <v>UNE 1030206</v>
          </cell>
          <cell r="D402" t="str">
            <v>---</v>
          </cell>
          <cell r="E402" t="str">
            <v>c/muestra</v>
          </cell>
          <cell r="F402">
            <v>2.81</v>
          </cell>
        </row>
        <row r="403">
          <cell r="A403">
            <v>343</v>
          </cell>
          <cell r="B403" t="str">
            <v>Triaxial probeta de 5,0x10,0cm. Consolidado Anisotrópicamente No Drenado (hasta 6 kg/cm2 de confinamiento). Considera 2 días de ensayo con 3 horas de etapa de corte.</v>
          </cell>
          <cell r="C403" t="str">
            <v>Basado en ASTM D4767</v>
          </cell>
          <cell r="D403">
            <v>2</v>
          </cell>
          <cell r="E403" t="str">
            <v>c/probeta</v>
          </cell>
          <cell r="F403">
            <v>16.420000000000002</v>
          </cell>
        </row>
        <row r="404">
          <cell r="A404">
            <v>344</v>
          </cell>
          <cell r="B404" t="str">
            <v>Triaxial probeta de 5,0x10,0 cm. Consolidado Anisotrópicamente No Drenado (hasta 28 kg/cm2 de confinamiento). Considera 2 días de ensayo con 3 horas de etapa de corte.</v>
          </cell>
          <cell r="C404" t="str">
            <v>Basado en ASTM D4767</v>
          </cell>
          <cell r="D404">
            <v>2</v>
          </cell>
          <cell r="E404" t="str">
            <v>c/probeta</v>
          </cell>
          <cell r="F404">
            <v>29.3</v>
          </cell>
        </row>
        <row r="405">
          <cell r="A405">
            <v>345</v>
          </cell>
          <cell r="B405" t="str">
            <v>Día adicional consolidación Triaxial 5x10cm</v>
          </cell>
          <cell r="C405" t="str">
            <v>---</v>
          </cell>
          <cell r="D405" t="str">
            <v>---</v>
          </cell>
          <cell r="E405" t="str">
            <v>c/dia</v>
          </cell>
          <cell r="F405">
            <v>7.79</v>
          </cell>
        </row>
        <row r="406">
          <cell r="A406">
            <v>346</v>
          </cell>
          <cell r="B406" t="str">
            <v>Hora adicional etapa de corte Triaxial 5x10cm</v>
          </cell>
          <cell r="C406" t="str">
            <v>---</v>
          </cell>
          <cell r="D406" t="str">
            <v>---</v>
          </cell>
          <cell r="E406" t="str">
            <v>c/hora</v>
          </cell>
          <cell r="F406">
            <v>1.89</v>
          </cell>
        </row>
        <row r="407">
          <cell r="A407">
            <v>347</v>
          </cell>
          <cell r="B407" t="str">
            <v>Carga adicional consolidación hasta 4 kgf/cm2</v>
          </cell>
          <cell r="C407" t="str">
            <v>---</v>
          </cell>
          <cell r="D407"/>
          <cell r="E407" t="str">
            <v>c/u</v>
          </cell>
          <cell r="F407">
            <v>1.92</v>
          </cell>
        </row>
        <row r="408">
          <cell r="A408">
            <v>348</v>
          </cell>
          <cell r="B408" t="str">
            <v>Carga adicional consolidación hasta 8 kgf/cm2</v>
          </cell>
          <cell r="C408" t="str">
            <v>---</v>
          </cell>
          <cell r="D408"/>
          <cell r="E408" t="str">
            <v>c/u</v>
          </cell>
          <cell r="F408">
            <v>2.09</v>
          </cell>
        </row>
        <row r="409">
          <cell r="A409">
            <v>349</v>
          </cell>
          <cell r="B409" t="str">
            <v>Carga adicional consolidación hasta 16 kgf/cm2</v>
          </cell>
          <cell r="C409" t="str">
            <v>---</v>
          </cell>
          <cell r="D409"/>
          <cell r="E409" t="str">
            <v>c/u</v>
          </cell>
          <cell r="F409">
            <v>2.4500000000000002</v>
          </cell>
        </row>
        <row r="410">
          <cell r="A410">
            <v>350</v>
          </cell>
          <cell r="B410" t="str">
            <v>Carga adicional consolidación hasta 32 kgf/cm2</v>
          </cell>
          <cell r="C410" t="str">
            <v>---</v>
          </cell>
          <cell r="D410"/>
          <cell r="E410" t="str">
            <v>c/u</v>
          </cell>
          <cell r="F410">
            <v>2.64</v>
          </cell>
        </row>
        <row r="411">
          <cell r="A411">
            <v>351</v>
          </cell>
          <cell r="B411" t="str">
            <v>Coeficiente de forma</v>
          </cell>
          <cell r="C411" t="str">
            <v>NCh 3240</v>
          </cell>
          <cell r="D411" t="str">
            <v>---</v>
          </cell>
          <cell r="E411" t="str">
            <v>c/muestra</v>
          </cell>
          <cell r="F411">
            <v>1.8</v>
          </cell>
        </row>
        <row r="412">
          <cell r="A412">
            <v>352</v>
          </cell>
          <cell r="B412" t="str">
            <v>Carga adicional consolidacion hasta 64 kg/cm2</v>
          </cell>
          <cell r="C412" t="str">
            <v>---</v>
          </cell>
          <cell r="D412" t="str">
            <v>---</v>
          </cell>
          <cell r="E412" t="str">
            <v>c/u</v>
          </cell>
          <cell r="F412">
            <v>3.1</v>
          </cell>
        </row>
        <row r="413">
          <cell r="A413">
            <v>353</v>
          </cell>
          <cell r="B413" t="str">
            <v>Homotetica valor hora</v>
          </cell>
          <cell r="C413"/>
          <cell r="D413"/>
          <cell r="E413"/>
          <cell r="F413">
            <v>0.28999999999999998</v>
          </cell>
        </row>
        <row r="414">
          <cell r="A414">
            <v>354</v>
          </cell>
          <cell r="B414" t="str">
            <v>Ensayo Tilt Test</v>
          </cell>
          <cell r="C414" t="str">
            <v>Proced. Interno</v>
          </cell>
          <cell r="D414" t="str">
            <v>---</v>
          </cell>
          <cell r="E414" t="str">
            <v>c/u</v>
          </cell>
          <cell r="F414">
            <v>3.5</v>
          </cell>
        </row>
        <row r="415">
          <cell r="A415">
            <v>355</v>
          </cell>
          <cell r="B415" t="str">
            <v>Determinación del ángulo de reposo en suelo (material hasta 4.75 mm), para una condición de humedad específica</v>
          </cell>
          <cell r="C415" t="str">
            <v>ASTM D 1444</v>
          </cell>
          <cell r="D415" t="str">
            <v>1 kg (bajo malla N°4)</v>
          </cell>
          <cell r="E415" t="str">
            <v>c/u</v>
          </cell>
          <cell r="F415">
            <v>4.22</v>
          </cell>
        </row>
        <row r="416">
          <cell r="A416">
            <v>356</v>
          </cell>
          <cell r="B416" t="str">
            <v>Análisis SEM (Microscopia Electrónica de Barrido)</v>
          </cell>
          <cell r="C416" t="str">
            <v>Proced. Interno</v>
          </cell>
          <cell r="D416" t="str">
            <v>---</v>
          </cell>
          <cell r="E416" t="str">
            <v>c/u</v>
          </cell>
          <cell r="F416">
            <v>12</v>
          </cell>
        </row>
        <row r="417">
          <cell r="A417">
            <v>357</v>
          </cell>
          <cell r="B417" t="str">
            <v>Dia adicional al tiempo máximo de ejecución de ensayo de presión de hinchamiento</v>
          </cell>
          <cell r="C417" t="str">
            <v>--</v>
          </cell>
          <cell r="D417" t="str">
            <v>---</v>
          </cell>
          <cell r="E417" t="str">
            <v>c/día</v>
          </cell>
          <cell r="F417">
            <v>0.47</v>
          </cell>
        </row>
        <row r="418">
          <cell r="A418">
            <v>358</v>
          </cell>
          <cell r="B418" t="str">
            <v>Consolidación - Celda Rowe
Considera:
- Probeta 5 cm de diámetro x 2 cm de altura
- Presión máxima de ensayo 28 kgf/cm²
- 5 escalones de carga y 2 de descarga</v>
          </cell>
          <cell r="C418" t="str">
            <v>Proced. Interno</v>
          </cell>
          <cell r="D418" t="str">
            <v>---</v>
          </cell>
          <cell r="E418" t="str">
            <v>c/u</v>
          </cell>
          <cell r="F418">
            <v>25</v>
          </cell>
        </row>
        <row r="419">
          <cell r="A419">
            <v>359</v>
          </cell>
          <cell r="B419" t="str">
            <v>Ensayo Azul de Metileno - Rocas</v>
          </cell>
          <cell r="C419" t="str">
            <v>Proced. Interno</v>
          </cell>
          <cell r="D419" t="str">
            <v>---</v>
          </cell>
          <cell r="E419" t="str">
            <v>c/u</v>
          </cell>
          <cell r="F419">
            <v>6.02</v>
          </cell>
        </row>
        <row r="420">
          <cell r="A420"/>
        </row>
        <row r="421">
          <cell r="A421"/>
        </row>
        <row r="422">
          <cell r="A422"/>
        </row>
        <row r="423">
          <cell r="A423"/>
        </row>
        <row r="424">
          <cell r="A424"/>
        </row>
        <row r="425">
          <cell r="A425"/>
        </row>
        <row r="426">
          <cell r="A426"/>
        </row>
        <row r="427">
          <cell r="A427"/>
        </row>
        <row r="428">
          <cell r="A428"/>
        </row>
        <row r="429">
          <cell r="A429"/>
        </row>
        <row r="430">
          <cell r="A430"/>
        </row>
        <row r="431">
          <cell r="A431"/>
        </row>
        <row r="432">
          <cell r="A432"/>
        </row>
        <row r="433">
          <cell r="A433"/>
        </row>
        <row r="434">
          <cell r="A434"/>
        </row>
        <row r="435">
          <cell r="A435"/>
        </row>
        <row r="436">
          <cell r="A436"/>
        </row>
        <row r="437">
          <cell r="A437"/>
        </row>
        <row r="438">
          <cell r="A438"/>
        </row>
        <row r="439">
          <cell r="A439"/>
        </row>
        <row r="440">
          <cell r="A440"/>
        </row>
        <row r="441">
          <cell r="A441"/>
        </row>
        <row r="442">
          <cell r="A442"/>
        </row>
        <row r="443">
          <cell r="A443"/>
        </row>
        <row r="444">
          <cell r="A444"/>
        </row>
        <row r="445">
          <cell r="A445"/>
        </row>
        <row r="446">
          <cell r="A446"/>
        </row>
        <row r="447">
          <cell r="A447"/>
        </row>
        <row r="448">
          <cell r="A448"/>
        </row>
        <row r="449">
          <cell r="A449"/>
        </row>
        <row r="450">
          <cell r="A450"/>
        </row>
        <row r="451">
          <cell r="A451"/>
        </row>
        <row r="452">
          <cell r="A452"/>
        </row>
        <row r="453">
          <cell r="A453"/>
        </row>
        <row r="454">
          <cell r="A454"/>
        </row>
        <row r="455">
          <cell r="A455"/>
        </row>
        <row r="456">
          <cell r="A456"/>
        </row>
        <row r="457">
          <cell r="A457"/>
        </row>
        <row r="458">
          <cell r="A458"/>
        </row>
        <row r="459">
          <cell r="A459"/>
        </row>
        <row r="460">
          <cell r="A460"/>
        </row>
        <row r="461">
          <cell r="A461"/>
        </row>
        <row r="462">
          <cell r="A462"/>
        </row>
        <row r="463">
          <cell r="A463"/>
        </row>
        <row r="464">
          <cell r="A464"/>
        </row>
        <row r="465">
          <cell r="A465"/>
        </row>
        <row r="466">
          <cell r="A466"/>
        </row>
        <row r="467">
          <cell r="A467"/>
        </row>
        <row r="468">
          <cell r="A468"/>
        </row>
        <row r="469">
          <cell r="A469"/>
        </row>
        <row r="470">
          <cell r="A470"/>
        </row>
        <row r="471">
          <cell r="A471"/>
        </row>
        <row r="472">
          <cell r="A472"/>
        </row>
        <row r="473">
          <cell r="A473"/>
        </row>
        <row r="474">
          <cell r="A474"/>
        </row>
        <row r="475">
          <cell r="A475"/>
        </row>
        <row r="476">
          <cell r="A476"/>
        </row>
        <row r="477">
          <cell r="A477"/>
        </row>
        <row r="478">
          <cell r="A478"/>
        </row>
        <row r="479">
          <cell r="A479"/>
        </row>
        <row r="480">
          <cell r="A480"/>
        </row>
        <row r="481">
          <cell r="A481"/>
        </row>
        <row r="482">
          <cell r="A482"/>
        </row>
        <row r="483">
          <cell r="A483"/>
        </row>
        <row r="484">
          <cell r="A484"/>
        </row>
        <row r="485">
          <cell r="A485"/>
        </row>
        <row r="486">
          <cell r="A486"/>
        </row>
        <row r="487">
          <cell r="A487"/>
        </row>
        <row r="488">
          <cell r="A488"/>
        </row>
        <row r="489">
          <cell r="A489"/>
        </row>
        <row r="490">
          <cell r="A490"/>
        </row>
        <row r="491">
          <cell r="A491"/>
        </row>
        <row r="492">
          <cell r="A492"/>
        </row>
        <row r="493">
          <cell r="A493"/>
        </row>
        <row r="494">
          <cell r="A494"/>
        </row>
        <row r="495">
          <cell r="A495"/>
        </row>
        <row r="496">
          <cell r="A496"/>
        </row>
        <row r="497">
          <cell r="A497"/>
        </row>
        <row r="498">
          <cell r="A498"/>
        </row>
        <row r="499">
          <cell r="A499"/>
        </row>
        <row r="500">
          <cell r="A500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image" Target="../media/image1.e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rea.dupre@amphos21.com" TargetMode="External"/><Relationship Id="rId6" Type="http://schemas.openxmlformats.org/officeDocument/2006/relationships/package" Target="../embeddings/Microsoft_Word_Document.docx"/><Relationship Id="rId5" Type="http://schemas.openxmlformats.org/officeDocument/2006/relationships/vmlDrawing" Target="../drawings/vmlDrawing2.v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37"/>
  <sheetViews>
    <sheetView showGridLines="0" tabSelected="1" view="pageBreakPreview" topLeftCell="A51" zoomScale="70" zoomScaleNormal="85" zoomScaleSheetLayoutView="70" workbookViewId="0">
      <selection activeCell="C64" sqref="C64:K64"/>
    </sheetView>
  </sheetViews>
  <sheetFormatPr baseColWidth="10" defaultColWidth="11.42578125" defaultRowHeight="12.75" x14ac:dyDescent="0.2"/>
  <cols>
    <col min="1" max="1" width="7.42578125" customWidth="1"/>
    <col min="2" max="2" width="1.28515625" customWidth="1"/>
    <col min="3" max="3" width="6.5703125" customWidth="1"/>
    <col min="4" max="4" width="23.42578125" customWidth="1"/>
    <col min="5" max="5" width="1.140625" customWidth="1"/>
    <col min="6" max="6" width="35.42578125" customWidth="1"/>
    <col min="7" max="7" width="46" customWidth="1"/>
    <col min="8" max="8" width="12.85546875" customWidth="1"/>
    <col min="9" max="9" width="12.28515625" customWidth="1"/>
    <col min="10" max="10" width="9.140625" customWidth="1"/>
    <col min="11" max="11" width="11.140625" customWidth="1"/>
    <col min="12" max="12" width="13.5703125" customWidth="1"/>
    <col min="13" max="13" width="1.28515625" customWidth="1"/>
    <col min="14" max="14" width="17.85546875" customWidth="1"/>
    <col min="15" max="15" width="21.7109375" customWidth="1"/>
    <col min="16" max="16" width="19.85546875" customWidth="1"/>
    <col min="17" max="17" width="20.28515625" style="28" customWidth="1"/>
    <col min="18" max="18" width="13.42578125" style="28" bestFit="1" customWidth="1"/>
    <col min="19" max="21" width="11.42578125" style="28"/>
    <col min="22" max="22" width="12.42578125" style="29" bestFit="1" customWidth="1"/>
    <col min="23" max="23" width="7.85546875" style="29" customWidth="1"/>
    <col min="24" max="24" width="5.85546875" style="29" customWidth="1"/>
    <col min="25" max="25" width="12.7109375" style="29" customWidth="1"/>
    <col min="26" max="26" width="11.85546875" style="29" customWidth="1"/>
    <col min="27" max="27" width="12.28515625" style="29" customWidth="1"/>
    <col min="28" max="28" width="13.140625" style="29" customWidth="1"/>
    <col min="29" max="29" width="14.7109375" style="29" customWidth="1"/>
    <col min="30" max="31" width="2.7109375" style="29" customWidth="1"/>
    <col min="32" max="32" width="11.42578125" style="29" customWidth="1"/>
    <col min="33" max="33" width="7.85546875" style="29" customWidth="1"/>
    <col min="34" max="34" width="5.85546875" style="29" customWidth="1"/>
    <col min="35" max="35" width="12.7109375" style="29" customWidth="1"/>
    <col min="36" max="36" width="11.85546875" style="29" customWidth="1"/>
    <col min="37" max="37" width="12.28515625" style="29" customWidth="1"/>
    <col min="38" max="38" width="13.140625" style="29" customWidth="1"/>
    <col min="39" max="39" width="14.7109375" style="29" customWidth="1"/>
    <col min="40" max="40" width="2.7109375" style="1" customWidth="1"/>
    <col min="41" max="16384" width="11.42578125" style="1"/>
  </cols>
  <sheetData>
    <row r="1" spans="1:39" customFormat="1" ht="15.75" customHeight="1" x14ac:dyDescent="0.25">
      <c r="A1" s="2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2"/>
      <c r="N1" s="2"/>
      <c r="O1" s="2"/>
      <c r="P1" s="2"/>
      <c r="Q1" s="24"/>
      <c r="R1" s="24"/>
      <c r="S1" s="24"/>
      <c r="T1" s="24"/>
      <c r="U1" s="24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customFormat="1" ht="15.75" customHeight="1" x14ac:dyDescent="0.25">
      <c r="A2" s="2"/>
      <c r="B2" s="2"/>
      <c r="C2" s="2"/>
      <c r="D2" s="2"/>
      <c r="E2" s="2"/>
      <c r="F2" s="2"/>
      <c r="G2" s="3"/>
      <c r="H2" s="3"/>
      <c r="I2" s="2"/>
      <c r="J2" s="2"/>
      <c r="K2" s="2"/>
      <c r="L2" s="2"/>
      <c r="M2" s="2"/>
      <c r="N2" s="2"/>
      <c r="O2" s="2"/>
      <c r="P2" s="2"/>
      <c r="Q2" s="24"/>
      <c r="R2" s="24"/>
      <c r="S2" s="24"/>
      <c r="T2" s="24"/>
      <c r="U2" s="24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3" spans="1:39" customFormat="1" ht="15.75" customHeight="1" x14ac:dyDescent="0.25">
      <c r="A3" s="2"/>
      <c r="B3" s="2"/>
      <c r="C3" s="2"/>
      <c r="D3" s="2"/>
      <c r="E3" s="2"/>
      <c r="F3" s="2"/>
      <c r="G3" s="3"/>
      <c r="H3" s="3"/>
      <c r="I3" s="2"/>
      <c r="J3" s="2"/>
      <c r="K3" s="2"/>
      <c r="L3" s="2"/>
      <c r="M3" s="2"/>
      <c r="N3" s="2"/>
      <c r="O3" s="2"/>
      <c r="P3" s="2"/>
      <c r="Q3" s="24"/>
      <c r="R3" s="24"/>
      <c r="S3" s="24"/>
      <c r="T3" s="24"/>
      <c r="U3" s="24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</row>
    <row r="4" spans="1:39" customFormat="1" ht="15.75" customHeight="1" x14ac:dyDescent="0.25">
      <c r="A4" s="2"/>
      <c r="B4" s="2"/>
      <c r="C4" s="2"/>
      <c r="D4" s="2"/>
      <c r="E4" s="2"/>
      <c r="F4" s="2"/>
      <c r="G4" s="3"/>
      <c r="H4" s="3"/>
      <c r="I4" s="2"/>
      <c r="J4" s="2"/>
      <c r="K4" s="2"/>
      <c r="L4" s="2"/>
      <c r="M4" s="2"/>
      <c r="N4" s="2"/>
      <c r="O4" s="2"/>
      <c r="P4" s="2"/>
      <c r="Q4" s="24"/>
      <c r="R4" s="24"/>
      <c r="S4" s="24"/>
      <c r="T4" s="24"/>
      <c r="U4" s="24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</row>
    <row r="5" spans="1:39" customFormat="1" ht="15.75" customHeight="1" x14ac:dyDescent="0.25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2"/>
      <c r="O5" s="2"/>
      <c r="P5" s="2"/>
      <c r="Q5" s="24"/>
      <c r="R5" s="24"/>
      <c r="S5" s="24"/>
      <c r="T5" s="24"/>
      <c r="U5" s="24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</row>
    <row r="6" spans="1:39" customFormat="1" ht="15.75" customHeight="1" x14ac:dyDescent="0.25">
      <c r="A6" s="2"/>
      <c r="B6" s="2"/>
      <c r="C6" s="2"/>
      <c r="D6" s="2"/>
      <c r="E6" s="2"/>
      <c r="F6" s="2"/>
      <c r="G6" s="3"/>
      <c r="H6" s="3"/>
      <c r="I6" s="2"/>
      <c r="J6" s="2"/>
      <c r="K6" s="2"/>
      <c r="L6" s="2"/>
      <c r="M6" s="2"/>
      <c r="N6" s="2"/>
      <c r="O6" s="2"/>
      <c r="P6" s="2"/>
      <c r="Q6" s="24"/>
      <c r="R6" s="24"/>
      <c r="S6" s="24"/>
      <c r="T6" s="24"/>
      <c r="U6" s="24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39" customFormat="1" ht="24" customHeight="1" x14ac:dyDescent="0.3">
      <c r="A7" s="2"/>
      <c r="B7" s="2"/>
      <c r="C7" s="4"/>
      <c r="D7" s="4"/>
      <c r="E7" s="4"/>
      <c r="F7" s="4"/>
      <c r="G7" s="5"/>
      <c r="H7" s="137" t="s">
        <v>45</v>
      </c>
      <c r="I7" s="137"/>
      <c r="J7" s="137"/>
      <c r="K7" s="137"/>
      <c r="L7" s="6"/>
      <c r="M7" s="38"/>
      <c r="N7" s="2"/>
      <c r="O7" s="2"/>
      <c r="P7" s="2"/>
      <c r="Q7" s="24"/>
      <c r="R7" s="24"/>
      <c r="S7" s="24"/>
      <c r="T7" s="24"/>
      <c r="U7" s="24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customFormat="1" ht="24" customHeight="1" x14ac:dyDescent="0.3">
      <c r="A8" s="2"/>
      <c r="B8" s="2"/>
      <c r="C8" s="4"/>
      <c r="D8" s="4"/>
      <c r="E8" s="4"/>
      <c r="F8" s="4"/>
      <c r="G8" s="138">
        <f ca="1">+TODAY()</f>
        <v>46262</v>
      </c>
      <c r="H8" s="138"/>
      <c r="I8" s="138"/>
      <c r="J8" s="138"/>
      <c r="K8" s="138"/>
      <c r="L8" s="36"/>
      <c r="M8" s="7"/>
      <c r="N8" s="2"/>
      <c r="O8" s="2"/>
      <c r="P8" s="2"/>
      <c r="Q8" s="24"/>
      <c r="R8" s="24"/>
      <c r="S8" s="24"/>
      <c r="T8" s="24"/>
      <c r="U8" s="24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</row>
    <row r="9" spans="1:39" customFormat="1" ht="24" customHeight="1" x14ac:dyDescent="0.3">
      <c r="A9" s="2"/>
      <c r="B9" s="2"/>
      <c r="C9" s="4"/>
      <c r="D9" s="4"/>
      <c r="E9" s="4"/>
      <c r="F9" s="4"/>
      <c r="G9" s="5"/>
      <c r="H9" s="5"/>
      <c r="I9" s="4"/>
      <c r="J9" s="4"/>
      <c r="K9" s="4"/>
      <c r="L9" s="4"/>
      <c r="M9" s="8"/>
      <c r="N9" s="2"/>
      <c r="O9" s="2"/>
      <c r="P9" s="2"/>
      <c r="Q9" s="24"/>
      <c r="R9" s="24"/>
      <c r="S9" s="24"/>
      <c r="T9" s="24"/>
      <c r="U9" s="24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</row>
    <row r="10" spans="1:39" customFormat="1" ht="24" customHeight="1" x14ac:dyDescent="0.3">
      <c r="A10" s="2"/>
      <c r="B10" s="2"/>
      <c r="C10" s="4"/>
      <c r="D10" s="4"/>
      <c r="E10" s="4"/>
      <c r="F10" s="4"/>
      <c r="G10" s="5"/>
      <c r="H10" s="5"/>
      <c r="I10" s="4"/>
      <c r="J10" s="4"/>
      <c r="K10" s="4"/>
      <c r="L10" s="4"/>
      <c r="M10" s="8"/>
      <c r="N10" s="2"/>
      <c r="O10" s="2"/>
      <c r="P10" s="2"/>
      <c r="Q10" s="24"/>
      <c r="R10" s="24"/>
      <c r="S10" s="24"/>
      <c r="T10" s="24"/>
      <c r="U10" s="24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</row>
    <row r="11" spans="1:39" customFormat="1" ht="15.75" customHeight="1" x14ac:dyDescent="0.3">
      <c r="A11" s="2"/>
      <c r="B11" s="2"/>
      <c r="C11" s="4"/>
      <c r="D11" s="4"/>
      <c r="E11" s="4"/>
      <c r="F11" s="4"/>
      <c r="G11" s="5"/>
      <c r="H11" s="5"/>
      <c r="I11" s="4"/>
      <c r="J11" s="4"/>
      <c r="K11" s="4"/>
      <c r="L11" s="4"/>
      <c r="M11" s="8"/>
      <c r="N11" s="2"/>
      <c r="O11" s="2"/>
      <c r="P11" s="2"/>
      <c r="Q11" s="24"/>
      <c r="R11" s="24"/>
      <c r="S11" s="24"/>
      <c r="T11" s="24"/>
      <c r="U11" s="24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</row>
    <row r="12" spans="1:39" customFormat="1" ht="15.75" customHeight="1" x14ac:dyDescent="0.3">
      <c r="A12" s="2"/>
      <c r="B12" s="2"/>
      <c r="C12" s="4"/>
      <c r="D12" s="9" t="s">
        <v>33</v>
      </c>
      <c r="E12" s="9"/>
      <c r="F12" s="9"/>
      <c r="G12" s="5"/>
      <c r="H12" s="5"/>
      <c r="I12" s="4"/>
      <c r="J12" s="4"/>
      <c r="K12" s="4"/>
      <c r="L12" s="4"/>
      <c r="M12" s="8"/>
      <c r="N12" s="2"/>
      <c r="O12" s="2"/>
      <c r="P12" s="2"/>
      <c r="Q12" s="24"/>
      <c r="R12" s="24"/>
      <c r="S12" s="24"/>
      <c r="T12" s="24"/>
      <c r="U12" s="24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</row>
    <row r="13" spans="1:39" customFormat="1" ht="22.5" customHeight="1" x14ac:dyDescent="0.3">
      <c r="A13" s="2"/>
      <c r="B13" s="2"/>
      <c r="C13" s="4"/>
      <c r="D13" s="130" t="s">
        <v>46</v>
      </c>
      <c r="E13" s="130"/>
      <c r="F13" s="130"/>
      <c r="G13" s="130"/>
      <c r="H13" s="130"/>
      <c r="I13" s="130"/>
      <c r="J13" s="130"/>
      <c r="K13" s="130"/>
      <c r="L13" s="4"/>
      <c r="M13" s="8"/>
      <c r="N13" s="2"/>
      <c r="O13" s="2"/>
      <c r="P13" s="2"/>
      <c r="Q13" s="24"/>
      <c r="R13" s="24"/>
      <c r="S13" s="24"/>
      <c r="T13" s="24"/>
      <c r="U13" s="24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</row>
    <row r="14" spans="1:39" customFormat="1" ht="22.5" customHeight="1" x14ac:dyDescent="0.3">
      <c r="A14" s="2"/>
      <c r="B14" s="2"/>
      <c r="C14" s="4"/>
      <c r="D14" s="130" t="s">
        <v>47</v>
      </c>
      <c r="E14" s="130"/>
      <c r="F14" s="130"/>
      <c r="G14" s="130"/>
      <c r="H14" s="130"/>
      <c r="I14" s="130"/>
      <c r="J14" s="130"/>
      <c r="K14" s="130"/>
      <c r="L14" s="4"/>
      <c r="M14" s="8"/>
      <c r="N14" s="2"/>
      <c r="O14" s="2"/>
      <c r="P14" s="2"/>
      <c r="Q14" s="24"/>
      <c r="R14" s="24"/>
      <c r="S14" s="24"/>
      <c r="T14" s="24"/>
      <c r="U14" s="24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</row>
    <row r="15" spans="1:39" customFormat="1" ht="24" customHeight="1" x14ac:dyDescent="0.3">
      <c r="A15" s="2"/>
      <c r="B15" s="2"/>
      <c r="C15" s="4"/>
      <c r="D15" s="104" t="s">
        <v>31</v>
      </c>
      <c r="E15" s="10"/>
      <c r="F15" s="10"/>
      <c r="G15" s="5"/>
      <c r="H15" s="5"/>
      <c r="I15" s="4"/>
      <c r="J15" s="4"/>
      <c r="K15" s="4"/>
      <c r="L15" s="4"/>
      <c r="M15" s="8"/>
      <c r="N15" s="2"/>
      <c r="O15" s="2"/>
      <c r="P15" s="2"/>
      <c r="Q15" s="24"/>
      <c r="R15" s="24"/>
      <c r="S15" s="24"/>
      <c r="T15" s="24"/>
      <c r="U15" s="24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</row>
    <row r="16" spans="1:39" customFormat="1" ht="24" customHeight="1" x14ac:dyDescent="0.3">
      <c r="A16" s="2"/>
      <c r="B16" s="2"/>
      <c r="C16" s="4"/>
      <c r="D16" s="11"/>
      <c r="E16" s="11"/>
      <c r="F16" s="11"/>
      <c r="G16" s="5"/>
      <c r="H16" s="11"/>
      <c r="I16" s="4"/>
      <c r="J16" s="4"/>
      <c r="K16" s="4"/>
      <c r="L16" s="4"/>
      <c r="M16" s="8"/>
      <c r="N16" s="2"/>
      <c r="O16" s="2"/>
      <c r="P16" s="2"/>
      <c r="Q16" s="24"/>
      <c r="R16" s="24"/>
      <c r="S16" s="24"/>
      <c r="T16" s="24"/>
      <c r="U16" s="24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</row>
    <row r="17" spans="1:39" customFormat="1" ht="24" customHeight="1" x14ac:dyDescent="0.3">
      <c r="A17" s="2"/>
      <c r="B17" s="2"/>
      <c r="C17" s="4"/>
      <c r="D17" s="11" t="s">
        <v>1</v>
      </c>
      <c r="E17" s="11" t="s">
        <v>0</v>
      </c>
      <c r="F17" s="139" t="s">
        <v>17</v>
      </c>
      <c r="G17" s="131"/>
      <c r="H17" s="131"/>
      <c r="I17" s="4"/>
      <c r="J17" s="4"/>
      <c r="K17" s="4"/>
      <c r="L17" s="4"/>
      <c r="M17" s="8"/>
      <c r="N17" s="2"/>
      <c r="O17" s="2"/>
      <c r="P17" s="2"/>
      <c r="Q17" s="24"/>
      <c r="R17" s="24"/>
      <c r="S17" s="24"/>
      <c r="T17" s="24"/>
      <c r="U17" s="24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</row>
    <row r="18" spans="1:39" customFormat="1" ht="24" customHeight="1" x14ac:dyDescent="0.3">
      <c r="A18" s="2"/>
      <c r="B18" s="2"/>
      <c r="C18" s="4"/>
      <c r="D18" s="11"/>
      <c r="E18" s="11"/>
      <c r="F18" s="11"/>
      <c r="G18" s="5"/>
      <c r="H18" s="11"/>
      <c r="I18" s="39"/>
      <c r="J18" s="39"/>
      <c r="K18" s="39"/>
      <c r="L18" s="4"/>
      <c r="M18" s="8"/>
      <c r="N18" s="2"/>
      <c r="O18" s="2"/>
      <c r="P18" s="2"/>
      <c r="Q18" s="24"/>
      <c r="R18" s="24"/>
      <c r="S18" s="24"/>
      <c r="T18" s="24"/>
      <c r="U18" s="24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</row>
    <row r="19" spans="1:39" customFormat="1" ht="24" customHeight="1" x14ac:dyDescent="0.3">
      <c r="A19" s="2"/>
      <c r="B19" s="2"/>
      <c r="C19" s="4"/>
      <c r="D19" s="11" t="s">
        <v>2</v>
      </c>
      <c r="E19" s="11" t="s">
        <v>0</v>
      </c>
      <c r="F19" s="40" t="s">
        <v>17</v>
      </c>
      <c r="G19" s="4"/>
      <c r="H19" s="4"/>
      <c r="I19" s="4"/>
      <c r="J19" s="4"/>
      <c r="K19" s="4"/>
      <c r="L19" s="4"/>
      <c r="M19" s="8"/>
      <c r="N19" s="2"/>
      <c r="O19" s="2"/>
      <c r="P19" s="2"/>
      <c r="Q19" s="24"/>
      <c r="R19" s="24"/>
      <c r="S19" s="24"/>
      <c r="T19" s="24"/>
      <c r="U19" s="24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</row>
    <row r="20" spans="1:39" customFormat="1" ht="24" customHeight="1" x14ac:dyDescent="0.3">
      <c r="A20" s="2"/>
      <c r="B20" s="2"/>
      <c r="C20" s="4"/>
      <c r="D20" s="11"/>
      <c r="E20" s="11"/>
      <c r="F20" s="11"/>
      <c r="G20" s="5"/>
      <c r="H20" s="5"/>
      <c r="I20" s="39"/>
      <c r="J20" s="39"/>
      <c r="K20" s="39"/>
      <c r="L20" s="4"/>
      <c r="M20" s="8"/>
      <c r="N20" s="2"/>
      <c r="O20" s="2"/>
      <c r="P20" s="2"/>
      <c r="Q20" s="24"/>
      <c r="R20" s="24"/>
      <c r="S20" s="24"/>
      <c r="T20" s="24"/>
      <c r="U20" s="24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</row>
    <row r="21" spans="1:39" customFormat="1" ht="24" customHeight="1" x14ac:dyDescent="0.3">
      <c r="A21" s="2"/>
      <c r="B21" s="2"/>
      <c r="C21" s="4"/>
      <c r="D21" s="41" t="s">
        <v>3</v>
      </c>
      <c r="E21" s="41" t="s">
        <v>0</v>
      </c>
      <c r="F21" s="102" t="s">
        <v>17</v>
      </c>
      <c r="G21" s="12"/>
      <c r="H21" s="12"/>
      <c r="I21" s="12"/>
      <c r="J21" s="4"/>
      <c r="K21" s="4"/>
      <c r="L21" s="4"/>
      <c r="M21" s="8"/>
      <c r="N21" s="2"/>
      <c r="O21" s="2"/>
      <c r="P21" s="2"/>
      <c r="Q21" s="24"/>
      <c r="R21" s="24"/>
      <c r="S21" s="24"/>
      <c r="T21" s="24"/>
      <c r="U21" s="24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</row>
    <row r="22" spans="1:39" customFormat="1" ht="15.75" customHeight="1" x14ac:dyDescent="0.3">
      <c r="A22" s="2"/>
      <c r="B22" s="2"/>
      <c r="C22" s="4"/>
      <c r="D22" s="11"/>
      <c r="E22" s="11"/>
      <c r="F22" s="11"/>
      <c r="G22" s="5"/>
      <c r="H22" s="5"/>
      <c r="I22" s="39"/>
      <c r="J22" s="39"/>
      <c r="K22" s="39"/>
      <c r="L22" s="4"/>
      <c r="M22" s="8"/>
      <c r="N22" s="2"/>
      <c r="O22" s="2"/>
      <c r="P22" s="2"/>
      <c r="Q22" s="24"/>
      <c r="R22" s="24"/>
      <c r="S22" s="24"/>
      <c r="T22" s="24"/>
      <c r="U22" s="24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</row>
    <row r="23" spans="1:39" customFormat="1" ht="15.75" customHeight="1" x14ac:dyDescent="0.3">
      <c r="A23" s="2"/>
      <c r="B23" s="2"/>
      <c r="C23" s="4"/>
      <c r="D23" s="11" t="s">
        <v>4</v>
      </c>
      <c r="E23" s="11" t="s">
        <v>0</v>
      </c>
      <c r="F23" s="118" t="s">
        <v>28</v>
      </c>
      <c r="G23" s="118"/>
      <c r="H23" s="118"/>
      <c r="I23" s="118"/>
      <c r="J23" s="118"/>
      <c r="K23" s="118"/>
      <c r="L23" s="4"/>
      <c r="M23" s="8"/>
      <c r="N23" s="2"/>
      <c r="O23" s="2"/>
      <c r="P23" s="2"/>
      <c r="Q23" s="24"/>
      <c r="R23" s="24"/>
      <c r="S23" s="24"/>
      <c r="T23" s="24"/>
      <c r="U23" s="24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</row>
    <row r="24" spans="1:39" customFormat="1" ht="15.75" customHeight="1" x14ac:dyDescent="0.3">
      <c r="A24" s="2"/>
      <c r="B24" s="2"/>
      <c r="C24" s="4"/>
      <c r="D24" s="4"/>
      <c r="E24" s="4"/>
      <c r="F24" s="4"/>
      <c r="G24" s="130"/>
      <c r="H24" s="130"/>
      <c r="I24" s="130"/>
      <c r="J24" s="130"/>
      <c r="K24" s="130"/>
      <c r="L24" s="130"/>
      <c r="M24" s="42"/>
      <c r="N24" s="2"/>
      <c r="O24" s="2"/>
      <c r="P24" s="2"/>
      <c r="Q24" s="24"/>
      <c r="R24" s="24"/>
      <c r="S24" s="24"/>
      <c r="T24" s="24"/>
      <c r="U24" s="24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</row>
    <row r="25" spans="1:39" customFormat="1" ht="15.75" customHeight="1" x14ac:dyDescent="0.3">
      <c r="A25" s="2"/>
      <c r="B25" s="2"/>
      <c r="C25" s="4"/>
      <c r="D25" s="131" t="s">
        <v>20</v>
      </c>
      <c r="E25" s="11" t="s">
        <v>0</v>
      </c>
      <c r="F25" s="132" t="s">
        <v>17</v>
      </c>
      <c r="G25" s="132"/>
      <c r="H25" s="132"/>
      <c r="I25" s="132"/>
      <c r="J25" s="132"/>
      <c r="K25" s="132"/>
      <c r="L25" s="4"/>
      <c r="M25" s="8"/>
      <c r="N25" s="2"/>
      <c r="O25" s="2"/>
      <c r="P25" s="2"/>
      <c r="Q25" s="24"/>
      <c r="R25" s="24"/>
      <c r="S25" s="24"/>
      <c r="T25" s="24"/>
      <c r="U25" s="24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</row>
    <row r="26" spans="1:39" customFormat="1" ht="15.75" customHeight="1" x14ac:dyDescent="0.3">
      <c r="A26" s="2"/>
      <c r="B26" s="2"/>
      <c r="C26" s="4"/>
      <c r="D26" s="131"/>
      <c r="E26" s="9"/>
      <c r="F26" s="132"/>
      <c r="G26" s="132"/>
      <c r="H26" s="132"/>
      <c r="I26" s="132"/>
      <c r="J26" s="132"/>
      <c r="K26" s="132"/>
      <c r="L26" s="4"/>
      <c r="M26" s="8"/>
      <c r="N26" s="2"/>
      <c r="O26" s="2"/>
      <c r="P26" s="2"/>
      <c r="Q26" s="24"/>
      <c r="R26" s="24"/>
      <c r="S26" s="24"/>
      <c r="T26" s="24"/>
      <c r="U26" s="24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</row>
    <row r="27" spans="1:39" customFormat="1" ht="15.75" customHeight="1" x14ac:dyDescent="0.3">
      <c r="A27" s="2"/>
      <c r="B27" s="2"/>
      <c r="C27" s="4"/>
      <c r="D27" s="9"/>
      <c r="E27" s="9"/>
      <c r="F27" s="9"/>
      <c r="G27" s="5"/>
      <c r="H27" s="5"/>
      <c r="I27" s="5"/>
      <c r="J27" s="5"/>
      <c r="K27" s="5"/>
      <c r="L27" s="4"/>
      <c r="M27" s="8"/>
      <c r="N27" s="2"/>
      <c r="O27" s="2"/>
      <c r="P27" s="2"/>
      <c r="Q27" s="24"/>
      <c r="R27" s="24"/>
      <c r="S27" s="24"/>
      <c r="T27" s="24"/>
      <c r="U27" s="24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</row>
    <row r="28" spans="1:39" customFormat="1" ht="15.75" customHeight="1" x14ac:dyDescent="0.3">
      <c r="A28" s="2"/>
      <c r="B28" s="2"/>
      <c r="C28" s="4"/>
      <c r="D28" s="4" t="s">
        <v>5</v>
      </c>
      <c r="E28" s="4"/>
      <c r="F28" s="4"/>
      <c r="G28" s="5"/>
      <c r="H28" s="5"/>
      <c r="I28" s="4"/>
      <c r="J28" s="4"/>
      <c r="K28" s="4"/>
      <c r="L28" s="4"/>
      <c r="M28" s="8"/>
      <c r="N28" s="2"/>
      <c r="O28" s="2"/>
      <c r="P28" s="2"/>
      <c r="Q28" s="24"/>
      <c r="R28" s="24"/>
      <c r="S28" s="24"/>
      <c r="T28" s="24"/>
      <c r="U28" s="24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</row>
    <row r="29" spans="1:39" customFormat="1" ht="15.75" customHeight="1" x14ac:dyDescent="0.3">
      <c r="A29" s="2"/>
      <c r="B29" s="2"/>
      <c r="C29" s="4"/>
      <c r="D29" s="4"/>
      <c r="E29" s="4"/>
      <c r="F29" s="4"/>
      <c r="G29" s="5"/>
      <c r="H29" s="5"/>
      <c r="I29" s="4"/>
      <c r="J29" s="4"/>
      <c r="K29" s="4"/>
      <c r="L29" s="4"/>
      <c r="M29" s="8"/>
      <c r="N29" s="2"/>
      <c r="O29" s="2"/>
      <c r="P29" s="2"/>
      <c r="Q29" s="24"/>
      <c r="R29" s="24"/>
      <c r="S29" s="24"/>
      <c r="T29" s="24"/>
      <c r="U29" s="24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</row>
    <row r="30" spans="1:39" customFormat="1" ht="15.75" customHeight="1" x14ac:dyDescent="0.3">
      <c r="A30" s="2"/>
      <c r="B30" s="2"/>
      <c r="C30" s="11"/>
      <c r="D30" s="4" t="s">
        <v>6</v>
      </c>
      <c r="E30" s="4"/>
      <c r="F30" s="4"/>
      <c r="G30" s="5"/>
      <c r="H30" s="5"/>
      <c r="I30" s="4"/>
      <c r="J30" s="4"/>
      <c r="K30" s="4"/>
      <c r="L30" s="4"/>
      <c r="M30" s="8"/>
      <c r="N30" s="2"/>
      <c r="O30" s="2"/>
      <c r="P30" s="2"/>
      <c r="Q30" s="24"/>
      <c r="R30" s="24"/>
      <c r="S30" s="24"/>
      <c r="T30" s="24"/>
      <c r="U30" s="24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</row>
    <row r="31" spans="1:39" customFormat="1" ht="15.75" customHeight="1" x14ac:dyDescent="0.3">
      <c r="A31" s="2"/>
      <c r="B31" s="2"/>
      <c r="C31" s="4"/>
      <c r="D31" s="4"/>
      <c r="E31" s="4"/>
      <c r="F31" s="4"/>
      <c r="G31" s="5"/>
      <c r="H31" s="5"/>
      <c r="I31" s="4"/>
      <c r="J31" s="4"/>
      <c r="K31" s="4"/>
      <c r="L31" s="4"/>
      <c r="M31" s="8"/>
      <c r="N31" s="2"/>
      <c r="O31" s="2"/>
      <c r="P31" s="2"/>
      <c r="Q31" s="24"/>
      <c r="R31" s="24"/>
      <c r="S31" s="24"/>
      <c r="T31" s="24"/>
      <c r="U31" s="24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</row>
    <row r="32" spans="1:39" customFormat="1" ht="15.75" customHeight="1" x14ac:dyDescent="0.3">
      <c r="A32" s="2"/>
      <c r="B32" s="2"/>
      <c r="C32" s="11"/>
      <c r="D32" s="12"/>
      <c r="E32" s="12"/>
      <c r="F32" s="12"/>
      <c r="G32" s="5"/>
      <c r="H32" s="5"/>
      <c r="I32" s="4"/>
      <c r="J32" s="4"/>
      <c r="K32" s="4"/>
      <c r="L32" s="4"/>
      <c r="M32" s="8"/>
      <c r="N32" s="2"/>
      <c r="O32" s="2"/>
      <c r="P32" s="2"/>
      <c r="Q32" s="24"/>
      <c r="R32" s="24"/>
      <c r="S32" s="24"/>
      <c r="T32" s="24"/>
      <c r="U32" s="24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</row>
    <row r="33" spans="1:39" customFormat="1" ht="15.75" customHeight="1" x14ac:dyDescent="0.3">
      <c r="A33" s="2"/>
      <c r="B33" s="2"/>
      <c r="C33" s="11"/>
      <c r="D33" s="4" t="s">
        <v>7</v>
      </c>
      <c r="E33" s="4"/>
      <c r="F33" s="4"/>
      <c r="G33" s="13"/>
      <c r="H33" s="13"/>
      <c r="I33" s="14"/>
      <c r="J33" s="14"/>
      <c r="K33" s="14"/>
      <c r="L33" s="14"/>
      <c r="M33" s="8"/>
      <c r="N33" s="2"/>
      <c r="O33" s="2"/>
      <c r="P33" s="2"/>
      <c r="Q33" s="24"/>
      <c r="R33" s="24"/>
      <c r="S33" s="24"/>
      <c r="T33" s="24"/>
      <c r="U33" s="24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</row>
    <row r="34" spans="1:39" customFormat="1" ht="15.75" customHeight="1" x14ac:dyDescent="0.3">
      <c r="A34" s="2"/>
      <c r="B34" s="2"/>
      <c r="C34" s="4"/>
      <c r="D34" s="4"/>
      <c r="E34" s="4"/>
      <c r="F34" s="4"/>
      <c r="G34" s="5"/>
      <c r="H34" s="5"/>
      <c r="I34" s="4"/>
      <c r="J34" s="4"/>
      <c r="K34" s="4"/>
      <c r="L34" s="4"/>
      <c r="M34" s="15"/>
      <c r="N34" s="2"/>
      <c r="O34" s="2"/>
      <c r="P34" s="2"/>
      <c r="Q34" s="24"/>
      <c r="R34" s="24"/>
      <c r="S34" s="24"/>
      <c r="T34" s="24"/>
      <c r="U34" s="24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</row>
    <row r="35" spans="1:39" customFormat="1" ht="15.75" customHeight="1" x14ac:dyDescent="0.3">
      <c r="A35" s="2"/>
      <c r="B35" s="2"/>
      <c r="C35" s="4"/>
      <c r="D35" s="4" t="s">
        <v>8</v>
      </c>
      <c r="E35" s="4"/>
      <c r="F35" s="4"/>
      <c r="G35" s="5"/>
      <c r="H35" s="5"/>
      <c r="I35" s="4"/>
      <c r="J35" s="4"/>
      <c r="K35" s="4"/>
      <c r="L35" s="4"/>
      <c r="M35" s="8"/>
      <c r="N35" s="2"/>
      <c r="O35" s="2"/>
      <c r="P35" s="2"/>
      <c r="Q35" s="24"/>
      <c r="R35" s="24"/>
      <c r="S35" s="24"/>
      <c r="T35" s="24"/>
      <c r="U35" s="24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</row>
    <row r="36" spans="1:39" customFormat="1" ht="15.75" customHeight="1" x14ac:dyDescent="0.3">
      <c r="A36" s="2"/>
      <c r="B36" s="2"/>
      <c r="C36" s="4"/>
      <c r="D36" s="4"/>
      <c r="E36" s="4"/>
      <c r="F36" s="4"/>
      <c r="G36" s="5"/>
      <c r="H36" s="5"/>
      <c r="I36" s="4"/>
      <c r="J36" s="4"/>
      <c r="K36" s="4"/>
      <c r="L36" s="4"/>
      <c r="M36" s="8"/>
      <c r="N36" s="2"/>
      <c r="O36" s="2"/>
      <c r="P36" s="2"/>
      <c r="Q36" s="24"/>
      <c r="R36" s="24"/>
      <c r="S36" s="24"/>
      <c r="T36" s="24"/>
      <c r="U36" s="24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</row>
    <row r="37" spans="1:39" customFormat="1" ht="15.75" customHeight="1" x14ac:dyDescent="0.3">
      <c r="A37" s="2"/>
      <c r="B37" s="2"/>
      <c r="C37" s="4"/>
      <c r="D37" s="4"/>
      <c r="E37" s="4"/>
      <c r="F37" s="4"/>
      <c r="G37" s="5"/>
      <c r="H37" s="5"/>
      <c r="I37" s="4"/>
      <c r="J37" s="4"/>
      <c r="K37" s="4"/>
      <c r="L37" s="4"/>
      <c r="M37" s="8"/>
      <c r="N37" s="2"/>
      <c r="O37" s="2"/>
      <c r="P37" s="2"/>
      <c r="Q37" s="24"/>
      <c r="R37" s="24"/>
      <c r="S37" s="24"/>
      <c r="T37" s="24"/>
      <c r="U37" s="24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</row>
    <row r="38" spans="1:39" customFormat="1" ht="15.75" customHeight="1" x14ac:dyDescent="0.3">
      <c r="A38" s="2"/>
      <c r="B38" s="2"/>
      <c r="C38" s="4"/>
      <c r="D38" s="4"/>
      <c r="E38" s="4"/>
      <c r="F38" s="4"/>
      <c r="G38" s="5"/>
      <c r="H38" s="5"/>
      <c r="I38" s="4"/>
      <c r="J38" s="4"/>
      <c r="K38" s="4"/>
      <c r="L38" s="4"/>
      <c r="M38" s="8"/>
      <c r="N38" s="2"/>
      <c r="O38" s="2"/>
      <c r="P38" s="2"/>
      <c r="Q38" s="24"/>
      <c r="R38" s="24"/>
      <c r="S38" s="24"/>
      <c r="T38" s="24"/>
      <c r="U38" s="24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</row>
    <row r="39" spans="1:39" customFormat="1" ht="15.75" customHeight="1" x14ac:dyDescent="0.3">
      <c r="A39" s="2"/>
      <c r="B39" s="2"/>
      <c r="C39" s="4"/>
      <c r="D39" s="4"/>
      <c r="E39" s="4"/>
      <c r="F39" s="4"/>
      <c r="G39" s="5"/>
      <c r="H39" s="5"/>
      <c r="I39" s="4"/>
      <c r="J39" s="4"/>
      <c r="K39" s="4"/>
      <c r="L39" s="4"/>
      <c r="M39" s="8"/>
      <c r="N39" s="2"/>
      <c r="O39" s="2"/>
      <c r="P39" s="2"/>
      <c r="Q39" s="24"/>
      <c r="R39" s="24"/>
      <c r="S39" s="24"/>
      <c r="T39" s="24"/>
      <c r="U39" s="24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</row>
    <row r="40" spans="1:39" customFormat="1" ht="15.75" customHeight="1" x14ac:dyDescent="0.3">
      <c r="A40" s="2"/>
      <c r="B40" s="2"/>
      <c r="C40" s="4"/>
      <c r="D40" s="4"/>
      <c r="E40" s="4"/>
      <c r="F40" s="4"/>
      <c r="G40" s="5"/>
      <c r="H40" s="5"/>
      <c r="I40" s="4"/>
      <c r="J40" s="4"/>
      <c r="K40" s="4"/>
      <c r="L40" s="4"/>
      <c r="M40" s="8"/>
      <c r="N40" s="2"/>
      <c r="O40" s="2"/>
      <c r="P40" s="2"/>
      <c r="Q40" s="24"/>
      <c r="R40" s="24"/>
      <c r="S40" s="24"/>
      <c r="T40" s="24"/>
      <c r="U40" s="24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</row>
    <row r="41" spans="1:39" customFormat="1" ht="15.75" customHeight="1" x14ac:dyDescent="0.3">
      <c r="A41" s="2"/>
      <c r="B41" s="2"/>
      <c r="C41" s="4"/>
      <c r="D41" s="4"/>
      <c r="E41" s="4"/>
      <c r="F41" s="4"/>
      <c r="G41" s="5"/>
      <c r="H41" s="5"/>
      <c r="I41" s="4"/>
      <c r="J41" s="4"/>
      <c r="K41" s="4"/>
      <c r="L41" s="4"/>
      <c r="M41" s="8"/>
      <c r="N41" s="2"/>
      <c r="O41" s="2"/>
      <c r="P41" s="2"/>
      <c r="Q41" s="24"/>
      <c r="R41" s="24"/>
      <c r="S41" s="24"/>
      <c r="T41" s="24"/>
      <c r="U41" s="24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</row>
    <row r="42" spans="1:39" customFormat="1" ht="15.75" customHeight="1" x14ac:dyDescent="0.3">
      <c r="A42" s="2"/>
      <c r="B42" s="2"/>
      <c r="C42" s="4"/>
      <c r="D42" s="4"/>
      <c r="E42" s="4"/>
      <c r="F42" s="4"/>
      <c r="G42" s="5"/>
      <c r="H42" s="5"/>
      <c r="I42" s="4"/>
      <c r="J42" s="4"/>
      <c r="K42" s="4"/>
      <c r="L42" s="4"/>
      <c r="M42" s="8"/>
      <c r="N42" s="2"/>
      <c r="O42" s="2"/>
      <c r="P42" s="2"/>
      <c r="Q42" s="24"/>
      <c r="R42" s="24"/>
      <c r="S42" s="24"/>
      <c r="T42" s="24"/>
      <c r="U42" s="24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</row>
    <row r="43" spans="1:39" customFormat="1" ht="15.75" customHeight="1" x14ac:dyDescent="0.3">
      <c r="A43" s="2"/>
      <c r="B43" s="2"/>
      <c r="C43" s="4"/>
      <c r="D43" s="4"/>
      <c r="E43" s="4"/>
      <c r="F43" s="4"/>
      <c r="G43" s="5"/>
      <c r="H43" s="5"/>
      <c r="I43" s="4"/>
      <c r="J43" s="4"/>
      <c r="K43" s="4"/>
      <c r="L43" s="4"/>
      <c r="M43" s="8"/>
      <c r="N43" s="2"/>
      <c r="O43" s="2"/>
      <c r="P43" s="2"/>
      <c r="Q43" s="24"/>
      <c r="R43" s="24"/>
      <c r="S43" s="24"/>
      <c r="T43" s="24"/>
      <c r="U43" s="24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</row>
    <row r="44" spans="1:39" customFormat="1" ht="15.75" customHeight="1" x14ac:dyDescent="0.3">
      <c r="A44" s="2"/>
      <c r="B44" s="2"/>
      <c r="C44" s="4"/>
      <c r="D44" s="4"/>
      <c r="E44" s="4"/>
      <c r="F44" s="4"/>
      <c r="G44" s="5"/>
      <c r="H44" s="103" t="s">
        <v>40</v>
      </c>
      <c r="I44" s="4"/>
      <c r="J44" s="4"/>
      <c r="K44" s="4"/>
      <c r="L44" s="4"/>
      <c r="M44" s="8"/>
      <c r="N44" s="2"/>
      <c r="O44" s="2"/>
      <c r="P44" s="2"/>
      <c r="Q44" s="24"/>
      <c r="R44" s="24"/>
      <c r="S44" s="24"/>
      <c r="T44" s="24"/>
      <c r="U44" s="24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</row>
    <row r="45" spans="1:39" customFormat="1" ht="15.75" customHeight="1" x14ac:dyDescent="0.3">
      <c r="A45" s="2"/>
      <c r="B45" s="2"/>
      <c r="C45" s="4"/>
      <c r="D45" s="4"/>
      <c r="E45" s="4"/>
      <c r="F45" s="4"/>
      <c r="G45" s="5"/>
      <c r="H45" s="103" t="s">
        <v>30</v>
      </c>
      <c r="I45" s="4"/>
      <c r="J45" s="4"/>
      <c r="K45" s="4"/>
      <c r="L45" s="4"/>
      <c r="M45" s="8"/>
      <c r="N45" s="2"/>
      <c r="O45" s="2"/>
      <c r="P45" s="2"/>
      <c r="Q45" s="24"/>
      <c r="R45" s="24"/>
      <c r="S45" s="24"/>
      <c r="T45" s="24"/>
      <c r="U45" s="24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</row>
    <row r="46" spans="1:39" customFormat="1" ht="15.75" customHeight="1" x14ac:dyDescent="0.3">
      <c r="A46" s="2"/>
      <c r="B46" s="2"/>
      <c r="C46" s="4"/>
      <c r="D46" s="4"/>
      <c r="E46" s="4"/>
      <c r="F46" s="4"/>
      <c r="G46" s="5"/>
      <c r="H46" s="5"/>
      <c r="I46" s="4"/>
      <c r="J46" s="4"/>
      <c r="K46" s="4"/>
      <c r="L46" s="4"/>
      <c r="M46" s="8"/>
      <c r="N46" s="2"/>
      <c r="O46" s="2"/>
      <c r="P46" s="2"/>
      <c r="Q46" s="24"/>
      <c r="R46" s="24"/>
      <c r="S46" s="24"/>
      <c r="T46" s="24"/>
      <c r="U46" s="24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</row>
    <row r="47" spans="1:39" customFormat="1" ht="15.75" customHeight="1" x14ac:dyDescent="0.3">
      <c r="A47" s="2"/>
      <c r="B47" s="2"/>
      <c r="C47" s="4"/>
      <c r="D47" s="4"/>
      <c r="E47" s="4"/>
      <c r="F47" s="4"/>
      <c r="G47" s="5"/>
      <c r="H47" s="5"/>
      <c r="I47" s="4"/>
      <c r="J47" s="4"/>
      <c r="K47" s="4"/>
      <c r="L47" s="4"/>
      <c r="M47" s="8"/>
      <c r="N47" s="2"/>
      <c r="O47" s="2"/>
      <c r="P47" s="2"/>
      <c r="Q47" s="24"/>
      <c r="R47" s="24"/>
      <c r="S47" s="24"/>
      <c r="T47" s="24"/>
      <c r="U47" s="24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</row>
    <row r="48" spans="1:39" customFormat="1" ht="15.75" customHeight="1" x14ac:dyDescent="0.3">
      <c r="A48" s="2"/>
      <c r="B48" s="2"/>
      <c r="C48" s="4"/>
      <c r="D48" s="4"/>
      <c r="E48" s="4"/>
      <c r="F48" s="4"/>
      <c r="G48" s="5"/>
      <c r="H48" s="5"/>
      <c r="I48" s="4"/>
      <c r="J48" s="4"/>
      <c r="K48" s="4"/>
      <c r="L48" s="4"/>
      <c r="M48" s="8"/>
      <c r="N48" s="2"/>
      <c r="O48" s="2"/>
      <c r="P48" s="2"/>
      <c r="Q48" s="24"/>
      <c r="R48" s="24"/>
      <c r="S48" s="24"/>
      <c r="T48" s="24"/>
      <c r="U48" s="24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</row>
    <row r="49" spans="1:39" customFormat="1" ht="15.75" customHeight="1" x14ac:dyDescent="0.3">
      <c r="A49" s="2"/>
      <c r="B49" s="2"/>
      <c r="C49" s="4"/>
      <c r="D49" s="4"/>
      <c r="E49" s="4"/>
      <c r="F49" s="4"/>
      <c r="G49" s="5"/>
      <c r="H49" s="5"/>
      <c r="I49" s="4"/>
      <c r="J49" s="4"/>
      <c r="K49" s="4"/>
      <c r="L49" s="4"/>
      <c r="M49" s="8"/>
      <c r="N49" s="2"/>
      <c r="O49" s="2"/>
      <c r="P49" s="2"/>
      <c r="Q49" s="24"/>
      <c r="R49" s="24"/>
      <c r="S49" s="24"/>
      <c r="T49" s="24"/>
      <c r="U49" s="24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</row>
    <row r="50" spans="1:39" customFormat="1" ht="15.75" customHeight="1" x14ac:dyDescent="0.3">
      <c r="A50" s="2"/>
      <c r="B50" s="2"/>
      <c r="C50" s="4"/>
      <c r="D50" s="4"/>
      <c r="E50" s="4"/>
      <c r="F50" s="4"/>
      <c r="G50" s="5"/>
      <c r="H50" s="5"/>
      <c r="I50" s="4"/>
      <c r="J50" s="4"/>
      <c r="K50" s="4"/>
      <c r="L50" s="4"/>
      <c r="M50" s="8"/>
      <c r="N50" s="2"/>
      <c r="O50" s="2"/>
      <c r="P50" s="2"/>
      <c r="Q50" s="24"/>
      <c r="R50" s="24"/>
      <c r="S50" s="24"/>
      <c r="T50" s="24"/>
      <c r="U50" s="24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</row>
    <row r="51" spans="1:39" customFormat="1" ht="15.75" customHeight="1" x14ac:dyDescent="0.3">
      <c r="A51" s="2"/>
      <c r="B51" s="2"/>
      <c r="C51" s="4"/>
      <c r="D51" s="4"/>
      <c r="E51" s="4"/>
      <c r="F51" s="4"/>
      <c r="G51" s="5"/>
      <c r="H51" s="5"/>
      <c r="I51" s="4"/>
      <c r="J51" s="4"/>
      <c r="K51" s="4"/>
      <c r="L51" s="4"/>
      <c r="M51" s="8"/>
      <c r="N51" s="2"/>
      <c r="O51" s="2"/>
      <c r="P51" s="2"/>
      <c r="Q51" s="24"/>
      <c r="R51" s="24"/>
      <c r="S51" s="24"/>
      <c r="T51" s="24"/>
      <c r="U51" s="24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</row>
    <row r="52" spans="1:39" customFormat="1" ht="15.75" customHeight="1" x14ac:dyDescent="0.3">
      <c r="A52" s="2"/>
      <c r="B52" s="2"/>
      <c r="C52" s="4"/>
      <c r="D52" s="4"/>
      <c r="E52" s="4"/>
      <c r="F52" s="4"/>
      <c r="G52" s="5"/>
      <c r="H52" s="5"/>
      <c r="I52" s="4"/>
      <c r="J52" s="4"/>
      <c r="K52" s="4"/>
      <c r="L52" s="4"/>
      <c r="M52" s="8"/>
      <c r="N52" s="2"/>
      <c r="O52" s="2"/>
      <c r="P52" s="2"/>
      <c r="Q52" s="24"/>
      <c r="R52" s="24"/>
      <c r="S52" s="24"/>
      <c r="T52" s="24"/>
      <c r="U52" s="24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</row>
    <row r="53" spans="1:39" customFormat="1" ht="15.75" customHeight="1" x14ac:dyDescent="0.3">
      <c r="A53" s="2"/>
      <c r="B53" s="2"/>
      <c r="C53" s="4"/>
      <c r="D53" s="4"/>
      <c r="E53" s="4"/>
      <c r="F53" s="4"/>
      <c r="G53" s="5"/>
      <c r="H53" s="5"/>
      <c r="I53" s="4"/>
      <c r="J53" s="4"/>
      <c r="K53" s="4"/>
      <c r="L53" s="4"/>
      <c r="M53" s="8"/>
      <c r="N53" s="2" t="s">
        <v>36</v>
      </c>
      <c r="O53" s="2">
        <v>40000</v>
      </c>
      <c r="P53" s="2"/>
      <c r="Q53" s="24"/>
      <c r="R53" s="24"/>
      <c r="S53" s="24"/>
      <c r="T53" s="24"/>
      <c r="U53" s="24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</row>
    <row r="54" spans="1:39" customFormat="1" ht="15.75" customHeight="1" x14ac:dyDescent="0.3">
      <c r="A54" s="2"/>
      <c r="B54" s="2"/>
      <c r="C54" s="4"/>
      <c r="D54" s="4"/>
      <c r="E54" s="4"/>
      <c r="F54" s="4"/>
      <c r="G54" s="5"/>
      <c r="H54" s="5"/>
      <c r="I54" s="4"/>
      <c r="J54" s="4"/>
      <c r="K54" s="4"/>
      <c r="L54" s="4"/>
      <c r="M54" s="8"/>
      <c r="N54" s="2" t="s">
        <v>37</v>
      </c>
      <c r="O54" s="2">
        <v>870</v>
      </c>
      <c r="P54" s="2"/>
      <c r="Q54" s="24"/>
      <c r="R54" s="24"/>
      <c r="S54" s="24"/>
      <c r="T54" s="24"/>
      <c r="U54" s="24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</row>
    <row r="55" spans="1:39" customFormat="1" ht="20.25" customHeight="1" x14ac:dyDescent="0.3">
      <c r="A55" s="2"/>
      <c r="B55" s="2"/>
      <c r="C55" s="11"/>
      <c r="D55" s="16" t="s">
        <v>41</v>
      </c>
      <c r="E55" s="16"/>
      <c r="F55" s="16"/>
      <c r="G55" s="5"/>
      <c r="H55" s="5"/>
      <c r="I55" s="4"/>
      <c r="J55" s="4"/>
      <c r="K55" s="4"/>
      <c r="L55" s="4"/>
      <c r="M55" s="8"/>
      <c r="N55" s="2"/>
      <c r="O55" s="2"/>
      <c r="P55" s="2"/>
      <c r="Q55" s="107"/>
      <c r="R55" s="108"/>
      <c r="S55" s="108"/>
      <c r="T55" s="24"/>
      <c r="U55" s="24"/>
      <c r="V55" s="109"/>
      <c r="W55" s="110"/>
      <c r="X55" s="28"/>
      <c r="Y55" s="28"/>
      <c r="Z55" s="32"/>
      <c r="AA55" s="33"/>
      <c r="AB55" s="34"/>
      <c r="AC55" s="35"/>
      <c r="AD55" s="28"/>
      <c r="AE55" s="28"/>
      <c r="AF55" s="28"/>
      <c r="AG55" s="28"/>
      <c r="AH55" s="28"/>
      <c r="AI55" s="28"/>
      <c r="AJ55" s="28"/>
      <c r="AK55" s="28"/>
      <c r="AL55" s="28"/>
      <c r="AM55" s="28"/>
    </row>
    <row r="56" spans="1:39" customFormat="1" ht="15.75" customHeight="1" x14ac:dyDescent="0.3">
      <c r="A56" s="2"/>
      <c r="B56" s="2"/>
      <c r="C56" s="4"/>
      <c r="D56" s="4"/>
      <c r="E56" s="4"/>
      <c r="F56" s="4"/>
      <c r="G56" s="5"/>
      <c r="H56" s="5"/>
      <c r="I56" s="4"/>
      <c r="J56" s="4"/>
      <c r="K56" s="4"/>
      <c r="L56" s="4"/>
      <c r="M56" s="8"/>
      <c r="N56" s="2"/>
      <c r="O56" s="2"/>
      <c r="P56" s="2"/>
      <c r="Q56" s="107"/>
      <c r="R56" s="108"/>
      <c r="S56" s="108"/>
      <c r="T56" s="24"/>
      <c r="U56" s="24"/>
      <c r="V56" s="109"/>
      <c r="W56" s="110"/>
      <c r="X56" s="28"/>
      <c r="Y56" s="28"/>
      <c r="Z56" s="32"/>
      <c r="AA56" s="33"/>
      <c r="AB56" s="34"/>
      <c r="AC56" s="35"/>
      <c r="AD56" s="28"/>
      <c r="AE56" s="28"/>
      <c r="AF56" s="28"/>
      <c r="AG56" s="28"/>
      <c r="AH56" s="28"/>
      <c r="AI56" s="28"/>
      <c r="AJ56" s="28"/>
      <c r="AK56" s="28"/>
      <c r="AL56" s="28"/>
      <c r="AM56" s="28"/>
    </row>
    <row r="57" spans="1:39" customFormat="1" ht="14.25" customHeight="1" x14ac:dyDescent="0.25">
      <c r="A57" s="2"/>
      <c r="B57" s="2"/>
      <c r="C57" s="133" t="s">
        <v>9</v>
      </c>
      <c r="D57" s="133"/>
      <c r="E57" s="133"/>
      <c r="F57" s="133"/>
      <c r="G57" s="133"/>
      <c r="H57" s="133"/>
      <c r="I57" s="133"/>
      <c r="J57" s="133"/>
      <c r="K57" s="133"/>
      <c r="L57" s="133"/>
      <c r="M57" s="37"/>
      <c r="N57" s="2"/>
      <c r="O57" s="2"/>
      <c r="P57" s="2"/>
      <c r="Q57" s="107"/>
      <c r="R57" s="108"/>
      <c r="S57" s="108"/>
      <c r="T57" s="24"/>
      <c r="U57" s="24"/>
      <c r="V57" s="109"/>
      <c r="W57" s="110"/>
      <c r="X57" s="28"/>
      <c r="Y57" s="28"/>
      <c r="Z57" s="32"/>
      <c r="AA57" s="33"/>
      <c r="AB57" s="34"/>
      <c r="AC57" s="35"/>
      <c r="AD57" s="28"/>
      <c r="AE57" s="28"/>
      <c r="AF57" s="28"/>
      <c r="AG57" s="28"/>
      <c r="AH57" s="28"/>
      <c r="AI57" s="28"/>
      <c r="AJ57" s="28"/>
      <c r="AK57" s="28"/>
      <c r="AL57" s="28"/>
      <c r="AM57" s="28"/>
    </row>
    <row r="58" spans="1:39" customFormat="1" ht="7.5" customHeight="1" thickBot="1" x14ac:dyDescent="0.3">
      <c r="A58" s="2"/>
      <c r="B58" s="2"/>
      <c r="C58" s="2"/>
      <c r="D58" s="2"/>
      <c r="E58" s="2"/>
      <c r="F58" s="2"/>
      <c r="G58" s="3"/>
      <c r="H58" s="3"/>
      <c r="I58" s="2"/>
      <c r="J58" s="2"/>
      <c r="K58" s="2"/>
      <c r="L58" s="2"/>
      <c r="M58" s="2"/>
      <c r="N58" s="2"/>
      <c r="O58" s="2"/>
      <c r="P58" s="2"/>
      <c r="Q58" s="107"/>
      <c r="R58" s="108"/>
      <c r="S58" s="108"/>
      <c r="T58" s="24"/>
      <c r="U58" s="24"/>
      <c r="V58" s="109"/>
      <c r="W58" s="110"/>
      <c r="X58" s="28"/>
      <c r="Y58" s="28"/>
      <c r="Z58" s="28"/>
      <c r="AA58" s="28"/>
      <c r="AB58" s="28"/>
      <c r="AC58" s="31" t="e">
        <f>+#REF!+#REF!</f>
        <v>#REF!</v>
      </c>
      <c r="AD58" s="28"/>
      <c r="AE58" s="28"/>
      <c r="AF58" s="28"/>
      <c r="AG58" s="28"/>
      <c r="AH58" s="28"/>
      <c r="AI58" s="28"/>
      <c r="AJ58" s="28"/>
      <c r="AK58" s="28"/>
      <c r="AL58" s="28"/>
      <c r="AM58" s="28"/>
    </row>
    <row r="59" spans="1:39" customFormat="1" ht="51" customHeight="1" x14ac:dyDescent="0.25">
      <c r="A59" s="17" t="s">
        <v>10</v>
      </c>
      <c r="B59" s="43"/>
      <c r="C59" s="18" t="s">
        <v>11</v>
      </c>
      <c r="D59" s="134" t="s">
        <v>12</v>
      </c>
      <c r="E59" s="135"/>
      <c r="F59" s="136"/>
      <c r="G59" s="19" t="s">
        <v>13</v>
      </c>
      <c r="H59" s="20" t="s">
        <v>14</v>
      </c>
      <c r="I59" s="19" t="s">
        <v>15</v>
      </c>
      <c r="J59" s="19" t="s">
        <v>38</v>
      </c>
      <c r="K59" s="19" t="s">
        <v>21</v>
      </c>
      <c r="L59" s="21" t="s">
        <v>39</v>
      </c>
      <c r="M59" s="2"/>
      <c r="N59" s="2"/>
      <c r="O59" s="30"/>
      <c r="P59" s="2"/>
      <c r="Q59" s="107"/>
      <c r="R59" s="108"/>
      <c r="S59" s="108"/>
      <c r="T59" s="24"/>
      <c r="U59" s="24"/>
      <c r="V59" s="109"/>
      <c r="W59" s="110"/>
      <c r="X59" s="28"/>
      <c r="Y59" s="28"/>
      <c r="Z59" s="28"/>
      <c r="AA59" s="28"/>
      <c r="AB59" s="28"/>
      <c r="AC59" s="31" t="e">
        <f>+#REF!+#REF!</f>
        <v>#REF!</v>
      </c>
      <c r="AD59" s="28"/>
      <c r="AE59" s="28"/>
      <c r="AF59" s="28"/>
      <c r="AG59" s="28"/>
      <c r="AH59" s="28"/>
      <c r="AI59" s="28"/>
      <c r="AJ59" s="28"/>
      <c r="AK59" s="28"/>
      <c r="AL59" s="28"/>
      <c r="AM59" s="28"/>
    </row>
    <row r="60" spans="1:39" customFormat="1" ht="15.75" customHeight="1" x14ac:dyDescent="0.25">
      <c r="A60" s="17"/>
      <c r="B60" s="43"/>
      <c r="C60" s="48" t="s">
        <v>19</v>
      </c>
      <c r="D60" s="128" t="s">
        <v>24</v>
      </c>
      <c r="E60" s="128"/>
      <c r="F60" s="128"/>
      <c r="G60" s="128"/>
      <c r="H60" s="128"/>
      <c r="I60" s="128"/>
      <c r="J60" s="128"/>
      <c r="K60" s="128"/>
      <c r="L60" s="129"/>
      <c r="M60" s="2"/>
      <c r="N60" s="2"/>
      <c r="O60" s="30"/>
      <c r="P60" s="2"/>
      <c r="Q60" s="28"/>
      <c r="R60" s="28"/>
      <c r="S60" s="24"/>
      <c r="T60" s="24"/>
      <c r="U60" s="24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</row>
    <row r="61" spans="1:39" customFormat="1" ht="36" customHeight="1" x14ac:dyDescent="0.25">
      <c r="A61" s="22"/>
      <c r="B61" s="106"/>
      <c r="C61" s="105" t="s">
        <v>32</v>
      </c>
      <c r="D61" s="113" t="e">
        <f>IF($A61=" "," ", VLOOKUP($A61,'[1]Tarifado 2023'!$A$4:$F$500,2,FALSE))</f>
        <v>#N/A</v>
      </c>
      <c r="E61" s="114"/>
      <c r="F61" s="115"/>
      <c r="G61" s="45" t="e">
        <f>IF($A61=" "," ", VLOOKUP($A61,'[1]Tarifado 2023'!$A$4:$F$500,3,FALSE))</f>
        <v>#N/A</v>
      </c>
      <c r="H61" s="45" t="e">
        <f>IF($A61=" "," ", VLOOKUP($A61,'[1]Tarifado 2023'!$A$4:$F$500,4,FALSE))</f>
        <v>#N/A</v>
      </c>
      <c r="I61" s="45" t="e">
        <f>IF($A61=" "," ", VLOOKUP($A61,'[1]Tarifado 2023'!$A$4:$F$500,5,FALSE))</f>
        <v>#N/A</v>
      </c>
      <c r="J61" s="45" t="e">
        <f>ROUND(IF($A61=" "," ", VLOOKUP($A61,'[1]Tarifado 2023'!$A$4:$F$500,6,FALSE))*O61,2)</f>
        <v>#N/A</v>
      </c>
      <c r="K61" s="45">
        <v>0</v>
      </c>
      <c r="L61" s="111" t="e">
        <f t="shared" ref="L61" si="0">J61*K61</f>
        <v>#N/A</v>
      </c>
      <c r="M61" s="2"/>
      <c r="N61" s="46"/>
      <c r="O61" s="30">
        <v>1</v>
      </c>
      <c r="P61" s="24" t="e">
        <f>ROUND(IF($A61=" "," ", VLOOKUP($A61,'[1]Tarifado 2023'!$A$4:$F$500,6,FALSE))*O61,2)</f>
        <v>#N/A</v>
      </c>
      <c r="Q61" s="46" t="e">
        <f>+P61*$O$53</f>
        <v>#N/A</v>
      </c>
      <c r="R61" s="24" t="e">
        <f>+Q61/$O$54</f>
        <v>#N/A</v>
      </c>
      <c r="S61" s="24"/>
      <c r="T61" s="24"/>
      <c r="U61" s="24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</row>
    <row r="62" spans="1:39" customFormat="1" ht="36" customHeight="1" x14ac:dyDescent="0.25">
      <c r="A62" s="22"/>
      <c r="B62" s="106"/>
      <c r="C62" s="105" t="s">
        <v>34</v>
      </c>
      <c r="D62" s="113" t="e">
        <f>IF($A62=" "," ", VLOOKUP($A62,'[1]Tarifado 2023'!$A$4:$F$500,2,FALSE))</f>
        <v>#N/A</v>
      </c>
      <c r="E62" s="114"/>
      <c r="F62" s="115"/>
      <c r="G62" s="45" t="e">
        <f>IF($A62=" "," ", VLOOKUP($A62,'[1]Tarifado 2023'!$A$4:$F$500,3,FALSE))</f>
        <v>#N/A</v>
      </c>
      <c r="H62" s="45" t="e">
        <f>IF($A62=" "," ", VLOOKUP($A62,'[1]Tarifado 2023'!$A$4:$F$500,4,FALSE))</f>
        <v>#N/A</v>
      </c>
      <c r="I62" s="45" t="e">
        <f>IF($A62=" "," ", VLOOKUP($A62,'[1]Tarifado 2023'!$A$4:$F$500,5,FALSE))</f>
        <v>#N/A</v>
      </c>
      <c r="J62" s="45" t="e">
        <f>ROUND(IF($A62=" "," ", VLOOKUP($A62,'[1]Tarifado 2023'!$A$4:$F$500,6,FALSE))*O62,2)</f>
        <v>#N/A</v>
      </c>
      <c r="K62" s="45">
        <v>0</v>
      </c>
      <c r="L62" s="111" t="e">
        <f t="shared" ref="L62:L63" si="1">J62*K62</f>
        <v>#N/A</v>
      </c>
      <c r="M62" s="2"/>
      <c r="N62" s="46"/>
      <c r="O62" s="30">
        <v>1</v>
      </c>
      <c r="P62" s="24" t="e">
        <f>ROUND(IF($A62=" "," ", VLOOKUP($A62,'[1]Tarifado 2023'!$A$4:$F$500,6,FALSE))*O62,2)</f>
        <v>#N/A</v>
      </c>
      <c r="Q62" s="46" t="e">
        <f>+P62*$O$53</f>
        <v>#N/A</v>
      </c>
      <c r="R62" s="24" t="e">
        <f>+Q62/$O$54</f>
        <v>#N/A</v>
      </c>
      <c r="S62" s="24"/>
      <c r="T62" s="24"/>
      <c r="U62" s="24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</row>
    <row r="63" spans="1:39" customFormat="1" ht="36" customHeight="1" x14ac:dyDescent="0.25">
      <c r="A63" s="22"/>
      <c r="B63" s="106"/>
      <c r="C63" s="105" t="s">
        <v>35</v>
      </c>
      <c r="D63" s="113" t="e">
        <f>IF($A63=" "," ", VLOOKUP($A63,'[1]Tarifado 2023'!$A$4:$F$500,2,FALSE))</f>
        <v>#N/A</v>
      </c>
      <c r="E63" s="114"/>
      <c r="F63" s="115"/>
      <c r="G63" s="45" t="e">
        <f>IF($A63=" "," ", VLOOKUP($A63,'[1]Tarifado 2023'!$A$4:$F$500,3,FALSE))</f>
        <v>#N/A</v>
      </c>
      <c r="H63" s="45" t="e">
        <f>IF($A63=" "," ", VLOOKUP($A63,'[1]Tarifado 2023'!$A$4:$F$500,4,FALSE))</f>
        <v>#N/A</v>
      </c>
      <c r="I63" s="45" t="e">
        <f>IF($A63=" "," ", VLOOKUP($A63,'[1]Tarifado 2023'!$A$4:$F$500,5,FALSE))</f>
        <v>#N/A</v>
      </c>
      <c r="J63" s="45" t="e">
        <f>ROUND(IF($A63=" "," ", VLOOKUP($A63,'[1]Tarifado 2023'!$A$4:$F$500,6,FALSE))*O63,2)</f>
        <v>#N/A</v>
      </c>
      <c r="K63" s="45">
        <v>0</v>
      </c>
      <c r="L63" s="111" t="e">
        <f t="shared" si="1"/>
        <v>#N/A</v>
      </c>
      <c r="M63" s="2"/>
      <c r="N63" s="46"/>
      <c r="O63" s="30">
        <v>1</v>
      </c>
      <c r="P63" s="24" t="e">
        <f>ROUND(IF($A63=" "," ", VLOOKUP($A63,'[1]Tarifado 2023'!$A$4:$F$500,6,FALSE))*O63,2)</f>
        <v>#N/A</v>
      </c>
      <c r="Q63" s="46" t="e">
        <f>+P63*$O$53</f>
        <v>#N/A</v>
      </c>
      <c r="R63" s="24" t="e">
        <f>+Q63/$O$54</f>
        <v>#N/A</v>
      </c>
      <c r="S63" s="24"/>
      <c r="T63" s="24"/>
      <c r="U63" s="24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</row>
    <row r="64" spans="1:39" customFormat="1" ht="16.5" customHeight="1" thickBot="1" x14ac:dyDescent="0.3">
      <c r="A64" s="22"/>
      <c r="B64" s="44"/>
      <c r="C64" s="123" t="s">
        <v>27</v>
      </c>
      <c r="D64" s="124"/>
      <c r="E64" s="124"/>
      <c r="F64" s="124"/>
      <c r="G64" s="124"/>
      <c r="H64" s="124"/>
      <c r="I64" s="124"/>
      <c r="J64" s="124"/>
      <c r="K64" s="125"/>
      <c r="L64" s="112" t="e">
        <f>SUM(L61:L63)</f>
        <v>#N/A</v>
      </c>
      <c r="M64" s="2"/>
      <c r="N64" s="2"/>
      <c r="O64" s="30"/>
      <c r="P64" s="24" t="e">
        <f>SUM(P61:P63)</f>
        <v>#N/A</v>
      </c>
      <c r="Q64" s="24"/>
      <c r="R64" s="24"/>
      <c r="S64" s="24"/>
      <c r="T64" s="24"/>
      <c r="U64" s="24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</row>
    <row r="65" spans="1:39" customFormat="1" ht="16.5" customHeight="1" x14ac:dyDescent="0.25">
      <c r="A65" s="17"/>
      <c r="B65" s="43"/>
      <c r="C65" s="49" t="s">
        <v>18</v>
      </c>
      <c r="D65" s="126" t="s">
        <v>25</v>
      </c>
      <c r="E65" s="126"/>
      <c r="F65" s="126"/>
      <c r="G65" s="126"/>
      <c r="H65" s="126"/>
      <c r="I65" s="126"/>
      <c r="J65" s="126"/>
      <c r="K65" s="126"/>
      <c r="L65" s="127"/>
      <c r="M65" s="2"/>
      <c r="N65" s="2"/>
      <c r="O65" s="30"/>
      <c r="P65" s="2"/>
      <c r="Q65" s="24"/>
      <c r="R65" s="24"/>
      <c r="S65" s="24"/>
      <c r="T65" s="24"/>
      <c r="U65" s="24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</row>
    <row r="66" spans="1:39" customFormat="1" ht="30.75" customHeight="1" x14ac:dyDescent="0.25">
      <c r="A66" s="22"/>
      <c r="B66" s="44"/>
      <c r="C66" s="47" t="s">
        <v>22</v>
      </c>
      <c r="D66" s="116" t="s">
        <v>26</v>
      </c>
      <c r="E66" s="116"/>
      <c r="F66" s="116"/>
      <c r="G66" s="116"/>
      <c r="H66" s="116"/>
      <c r="I66" s="116"/>
      <c r="J66" s="116"/>
      <c r="K66" s="116"/>
      <c r="L66" s="117"/>
      <c r="M66" s="2"/>
      <c r="N66" s="2"/>
      <c r="O66" s="30"/>
      <c r="P66" s="2"/>
      <c r="Q66" s="24"/>
      <c r="R66" s="24"/>
      <c r="S66" s="24"/>
      <c r="T66" s="24"/>
      <c r="U66" s="24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</row>
    <row r="67" spans="1:39" customFormat="1" ht="30.75" customHeight="1" x14ac:dyDescent="0.25">
      <c r="A67" s="22"/>
      <c r="B67" s="44"/>
      <c r="C67" s="47" t="s">
        <v>23</v>
      </c>
      <c r="D67" s="116" t="s">
        <v>43</v>
      </c>
      <c r="E67" s="116"/>
      <c r="F67" s="116"/>
      <c r="G67" s="116"/>
      <c r="H67" s="116"/>
      <c r="I67" s="116"/>
      <c r="J67" s="116"/>
      <c r="K67" s="116"/>
      <c r="L67" s="117"/>
      <c r="M67" s="2"/>
      <c r="N67" s="2"/>
      <c r="O67" s="30"/>
      <c r="P67" s="2"/>
      <c r="Q67" s="24"/>
      <c r="R67" s="24"/>
      <c r="S67" s="24"/>
      <c r="T67" s="24"/>
      <c r="U67" s="24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</row>
    <row r="68" spans="1:39" customFormat="1" ht="30.75" customHeight="1" x14ac:dyDescent="0.25">
      <c r="A68" s="22"/>
      <c r="B68" s="44"/>
      <c r="C68" s="47" t="s">
        <v>42</v>
      </c>
      <c r="D68" s="121" t="s">
        <v>44</v>
      </c>
      <c r="E68" s="121"/>
      <c r="F68" s="121"/>
      <c r="G68" s="121"/>
      <c r="H68" s="121"/>
      <c r="I68" s="121"/>
      <c r="J68" s="121"/>
      <c r="K68" s="121"/>
      <c r="L68" s="122"/>
      <c r="M68" s="2"/>
      <c r="N68" s="2"/>
      <c r="O68" s="30"/>
      <c r="P68" s="2"/>
      <c r="Q68" s="24"/>
      <c r="R68" s="24"/>
      <c r="S68" s="24"/>
      <c r="T68" s="24"/>
      <c r="U68" s="24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</row>
    <row r="69" spans="1:39" customFormat="1" ht="16.5" customHeight="1" x14ac:dyDescent="0.25">
      <c r="A69" s="23"/>
      <c r="B69" s="50"/>
      <c r="C69" s="119" t="s">
        <v>29</v>
      </c>
      <c r="D69" s="120"/>
      <c r="E69" s="120"/>
      <c r="F69" s="120"/>
      <c r="G69" s="120"/>
      <c r="H69" s="120"/>
      <c r="I69" s="120"/>
      <c r="J69" s="51"/>
      <c r="K69" s="51"/>
      <c r="L69" s="52"/>
      <c r="M69" s="2"/>
      <c r="N69" s="2"/>
      <c r="O69" s="24"/>
      <c r="P69" s="53"/>
      <c r="Q69" s="24"/>
      <c r="R69" s="24"/>
      <c r="S69" s="24"/>
      <c r="T69" s="24"/>
      <c r="U69" s="24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</row>
    <row r="70" spans="1:39" customFormat="1" ht="16.5" customHeight="1" x14ac:dyDescent="0.25">
      <c r="A70" s="2"/>
      <c r="B70" s="2"/>
      <c r="C70" s="54"/>
      <c r="D70" s="55"/>
      <c r="E70" s="55"/>
      <c r="F70" s="55"/>
      <c r="G70" s="55"/>
      <c r="H70" s="55"/>
      <c r="I70" s="56"/>
      <c r="J70" s="57"/>
      <c r="K70" s="57"/>
      <c r="L70" s="58"/>
      <c r="M70" s="2"/>
      <c r="N70" s="2"/>
      <c r="O70" s="24"/>
      <c r="P70" s="53"/>
      <c r="Q70" s="24"/>
      <c r="R70" s="24"/>
      <c r="S70" s="24"/>
      <c r="T70" s="24"/>
      <c r="U70" s="24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</row>
    <row r="71" spans="1:39" customFormat="1" ht="16.5" customHeight="1" x14ac:dyDescent="0.25">
      <c r="A71" s="2"/>
      <c r="B71" s="2"/>
      <c r="C71" s="59"/>
      <c r="D71" s="60"/>
      <c r="E71" s="60"/>
      <c r="F71" s="60"/>
      <c r="G71" s="60"/>
      <c r="H71" s="60"/>
      <c r="I71" s="61"/>
      <c r="J71" s="2"/>
      <c r="K71" s="2"/>
      <c r="L71" s="62"/>
      <c r="M71" s="2"/>
      <c r="N71" s="2"/>
      <c r="O71" s="24"/>
      <c r="P71" s="53"/>
      <c r="Q71" s="24"/>
      <c r="R71" s="24"/>
      <c r="S71" s="24"/>
      <c r="T71" s="24"/>
      <c r="U71" s="24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</row>
    <row r="72" spans="1:39" customFormat="1" ht="16.5" customHeight="1" x14ac:dyDescent="0.25">
      <c r="A72" s="2"/>
      <c r="B72" s="2"/>
      <c r="C72" s="59"/>
      <c r="D72" s="60"/>
      <c r="E72" s="60"/>
      <c r="F72" s="60"/>
      <c r="G72" s="60"/>
      <c r="H72" s="60"/>
      <c r="I72" s="61"/>
      <c r="J72" s="2"/>
      <c r="K72" s="2"/>
      <c r="L72" s="62"/>
      <c r="M72" s="2"/>
      <c r="N72" s="2"/>
      <c r="O72" s="24"/>
      <c r="P72" s="53"/>
      <c r="Q72" s="24"/>
      <c r="R72" s="24"/>
      <c r="S72" s="24"/>
      <c r="T72" s="24"/>
      <c r="U72" s="24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</row>
    <row r="73" spans="1:39" customFormat="1" ht="16.5" customHeight="1" x14ac:dyDescent="0.25">
      <c r="A73" s="2"/>
      <c r="B73" s="2"/>
      <c r="C73" s="63"/>
      <c r="D73" s="64"/>
      <c r="E73" s="64"/>
      <c r="F73" s="64"/>
      <c r="G73" s="64"/>
      <c r="H73" s="64"/>
      <c r="I73" s="64"/>
      <c r="J73" s="64"/>
      <c r="K73" s="64"/>
      <c r="L73" s="65"/>
      <c r="M73" s="2"/>
      <c r="N73" s="2"/>
      <c r="O73" s="24"/>
      <c r="P73" s="2"/>
      <c r="Q73" s="24"/>
      <c r="R73" s="24"/>
      <c r="S73" s="24"/>
      <c r="T73" s="24"/>
      <c r="U73" s="24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</row>
    <row r="74" spans="1:39" customFormat="1" ht="16.5" customHeight="1" x14ac:dyDescent="0.25">
      <c r="A74" s="2"/>
      <c r="B74" s="2"/>
      <c r="C74" s="63"/>
      <c r="D74" s="64"/>
      <c r="E74" s="64"/>
      <c r="F74" s="64"/>
      <c r="G74" s="64"/>
      <c r="H74" s="64"/>
      <c r="I74" s="64"/>
      <c r="J74" s="64"/>
      <c r="K74" s="64"/>
      <c r="L74" s="65"/>
      <c r="M74" s="2"/>
      <c r="N74" s="2"/>
      <c r="O74" s="24"/>
      <c r="P74" s="53"/>
      <c r="Q74" s="24"/>
      <c r="R74" s="24"/>
      <c r="S74" s="24"/>
      <c r="T74" s="24"/>
      <c r="U74" s="24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</row>
    <row r="75" spans="1:39" customFormat="1" ht="12.75" customHeight="1" x14ac:dyDescent="0.25">
      <c r="A75" s="2"/>
      <c r="B75" s="2"/>
      <c r="C75" s="63"/>
      <c r="D75" s="64"/>
      <c r="E75" s="64"/>
      <c r="F75" s="64"/>
      <c r="G75" s="64"/>
      <c r="H75" s="66"/>
      <c r="I75" s="66"/>
      <c r="J75" s="66"/>
      <c r="K75" s="66"/>
      <c r="L75" s="67"/>
      <c r="M75" s="2"/>
      <c r="N75" s="2"/>
      <c r="O75" s="24"/>
      <c r="P75" s="2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</row>
    <row r="76" spans="1:39" customFormat="1" ht="12.75" customHeight="1" x14ac:dyDescent="0.25">
      <c r="A76" s="2"/>
      <c r="B76" s="2"/>
      <c r="C76" s="63"/>
      <c r="D76" s="64"/>
      <c r="E76" s="64"/>
      <c r="F76" s="64"/>
      <c r="G76" s="64"/>
      <c r="H76" s="64"/>
      <c r="I76" s="64"/>
      <c r="J76" s="64"/>
      <c r="K76" s="64"/>
      <c r="L76" s="65"/>
      <c r="M76" s="2"/>
      <c r="N76" s="2"/>
      <c r="O76" s="24"/>
      <c r="P76" s="53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</row>
    <row r="77" spans="1:39" customFormat="1" ht="12.75" customHeight="1" x14ac:dyDescent="0.25">
      <c r="A77" s="2"/>
      <c r="B77" s="2"/>
      <c r="C77" s="63"/>
      <c r="D77" s="64"/>
      <c r="E77" s="64"/>
      <c r="F77" s="64"/>
      <c r="G77" s="64"/>
      <c r="H77" s="64"/>
      <c r="I77" s="64"/>
      <c r="J77" s="64"/>
      <c r="K77" s="64"/>
      <c r="L77" s="65"/>
      <c r="M77" s="2"/>
      <c r="N77" s="2"/>
      <c r="O77" s="24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</row>
    <row r="78" spans="1:39" customFormat="1" ht="12.75" customHeight="1" x14ac:dyDescent="0.25">
      <c r="A78" s="2"/>
      <c r="B78" s="2"/>
      <c r="C78" s="63"/>
      <c r="D78" s="64"/>
      <c r="E78" s="64"/>
      <c r="F78" s="64"/>
      <c r="G78" s="64"/>
      <c r="H78" s="64"/>
      <c r="I78" s="64"/>
      <c r="J78" s="64"/>
      <c r="K78" s="64"/>
      <c r="L78" s="65"/>
      <c r="M78" s="2"/>
      <c r="N78" s="2"/>
      <c r="O78" s="24"/>
      <c r="P78" s="53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</row>
    <row r="79" spans="1:39" customFormat="1" ht="12.75" customHeight="1" x14ac:dyDescent="0.25">
      <c r="A79" s="2"/>
      <c r="B79" s="2"/>
      <c r="C79" s="68"/>
      <c r="D79" s="69"/>
      <c r="E79" s="69"/>
      <c r="F79" s="69"/>
      <c r="G79" s="69"/>
      <c r="H79" s="69"/>
      <c r="I79" s="69"/>
      <c r="J79" s="69"/>
      <c r="K79" s="69"/>
      <c r="L79" s="70"/>
      <c r="M79" s="2"/>
      <c r="N79" s="2"/>
      <c r="O79" s="24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</row>
    <row r="80" spans="1:39" customFormat="1" ht="12.75" customHeight="1" x14ac:dyDescent="0.25">
      <c r="A80" s="2"/>
      <c r="B80" s="2"/>
      <c r="C80" s="71"/>
      <c r="D80" s="72"/>
      <c r="E80" s="72"/>
      <c r="F80" s="72"/>
      <c r="G80" s="72"/>
      <c r="H80" s="72"/>
      <c r="I80" s="72"/>
      <c r="J80" s="2"/>
      <c r="K80" s="2"/>
      <c r="L80" s="62"/>
      <c r="M80" s="2"/>
      <c r="N80" s="2"/>
      <c r="O80" s="24"/>
      <c r="P80" s="53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</row>
    <row r="81" spans="1:39" customFormat="1" ht="12.75" customHeight="1" x14ac:dyDescent="0.25">
      <c r="A81" s="2" t="s">
        <v>16</v>
      </c>
      <c r="B81" s="2"/>
      <c r="C81" s="71"/>
      <c r="D81" s="72"/>
      <c r="E81" s="72"/>
      <c r="F81" s="72"/>
      <c r="G81" s="72"/>
      <c r="H81" s="72"/>
      <c r="I81" s="72"/>
      <c r="J81" s="2"/>
      <c r="K81" s="2"/>
      <c r="L81" s="62"/>
      <c r="M81" s="2"/>
      <c r="N81" s="2"/>
      <c r="O81" s="2"/>
      <c r="P81" s="2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</row>
    <row r="82" spans="1:39" customFormat="1" ht="12.75" customHeight="1" x14ac:dyDescent="0.25">
      <c r="A82" s="2"/>
      <c r="B82" s="2"/>
      <c r="C82" s="71"/>
      <c r="D82" s="72"/>
      <c r="E82" s="72"/>
      <c r="F82" s="72"/>
      <c r="G82" s="72"/>
      <c r="H82" s="72"/>
      <c r="I82" s="72"/>
      <c r="J82" s="2"/>
      <c r="K82" s="2"/>
      <c r="L82" s="62"/>
      <c r="M82" s="2"/>
      <c r="N82" s="2"/>
      <c r="O82" s="2"/>
      <c r="P82" s="2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</row>
    <row r="83" spans="1:39" customFormat="1" ht="12.75" customHeight="1" x14ac:dyDescent="0.25">
      <c r="A83" s="2"/>
      <c r="B83" s="2"/>
      <c r="C83" s="73"/>
      <c r="D83" s="8"/>
      <c r="E83" s="74"/>
      <c r="F83" s="8"/>
      <c r="G83" s="8"/>
      <c r="H83" s="8"/>
      <c r="I83" s="8"/>
      <c r="J83" s="2"/>
      <c r="K83" s="2"/>
      <c r="L83" s="62"/>
      <c r="M83" s="2"/>
      <c r="N83" s="2"/>
      <c r="O83" s="2"/>
      <c r="P83" s="2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</row>
    <row r="84" spans="1:39" customFormat="1" ht="12.75" customHeight="1" x14ac:dyDescent="0.25">
      <c r="A84" s="2"/>
      <c r="B84" s="2"/>
      <c r="C84" s="63"/>
      <c r="D84" s="64"/>
      <c r="E84" s="64"/>
      <c r="F84" s="64"/>
      <c r="G84" s="64"/>
      <c r="H84" s="64"/>
      <c r="I84" s="64"/>
      <c r="J84" s="64"/>
      <c r="K84" s="64"/>
      <c r="L84" s="65"/>
      <c r="M84" s="2"/>
      <c r="N84" s="2"/>
      <c r="O84" s="2"/>
      <c r="P84" s="2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</row>
    <row r="85" spans="1:39" customFormat="1" ht="12.75" customHeight="1" x14ac:dyDescent="0.25">
      <c r="A85" s="2"/>
      <c r="B85" s="2"/>
      <c r="C85" s="63"/>
      <c r="D85" s="64"/>
      <c r="E85" s="64"/>
      <c r="F85" s="64"/>
      <c r="G85" s="64"/>
      <c r="H85" s="64"/>
      <c r="I85" s="64"/>
      <c r="J85" s="64"/>
      <c r="K85" s="64"/>
      <c r="L85" s="65"/>
      <c r="M85" s="2"/>
      <c r="N85" s="2"/>
      <c r="O85" s="2"/>
      <c r="P85" s="2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</row>
    <row r="86" spans="1:39" customFormat="1" ht="12.75" customHeight="1" x14ac:dyDescent="0.25">
      <c r="A86" s="2"/>
      <c r="B86" s="2"/>
      <c r="C86" s="75"/>
      <c r="D86" s="76"/>
      <c r="E86" s="76"/>
      <c r="F86" s="76"/>
      <c r="G86" s="76"/>
      <c r="H86" s="76"/>
      <c r="I86" s="76"/>
      <c r="J86" s="2"/>
      <c r="K86" s="2"/>
      <c r="L86" s="62"/>
      <c r="M86" s="2"/>
      <c r="N86" s="2"/>
      <c r="O86" s="2"/>
      <c r="P86" s="2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</row>
    <row r="87" spans="1:39" customFormat="1" ht="12.75" customHeight="1" x14ac:dyDescent="0.25">
      <c r="A87" s="2"/>
      <c r="B87" s="2"/>
      <c r="C87" s="75"/>
      <c r="D87" s="76"/>
      <c r="E87" s="76"/>
      <c r="F87" s="76"/>
      <c r="G87" s="76"/>
      <c r="H87" s="76"/>
      <c r="I87" s="76"/>
      <c r="J87" s="2"/>
      <c r="K87" s="2"/>
      <c r="L87" s="62"/>
      <c r="M87" s="2"/>
      <c r="N87" s="2"/>
      <c r="O87" s="2"/>
      <c r="P87" s="2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</row>
    <row r="88" spans="1:39" customFormat="1" ht="12.75" customHeight="1" x14ac:dyDescent="0.25">
      <c r="A88" s="2"/>
      <c r="B88" s="2"/>
      <c r="C88" s="75"/>
      <c r="D88" s="76"/>
      <c r="E88" s="76"/>
      <c r="F88" s="76"/>
      <c r="G88" s="76"/>
      <c r="H88" s="76"/>
      <c r="I88" s="76"/>
      <c r="J88" s="2"/>
      <c r="K88" s="2"/>
      <c r="L88" s="62"/>
      <c r="M88" s="2"/>
      <c r="N88" s="2"/>
      <c r="O88" s="2"/>
      <c r="P88" s="2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</row>
    <row r="89" spans="1:39" customFormat="1" ht="12.75" customHeight="1" x14ac:dyDescent="0.25">
      <c r="A89" s="2"/>
      <c r="B89" s="2"/>
      <c r="C89" s="75"/>
      <c r="D89" s="76"/>
      <c r="E89" s="76"/>
      <c r="F89" s="76"/>
      <c r="G89" s="76"/>
      <c r="H89" s="76"/>
      <c r="I89" s="76"/>
      <c r="J89" s="2"/>
      <c r="K89" s="2"/>
      <c r="L89" s="62"/>
      <c r="M89" s="2"/>
      <c r="N89" s="2"/>
      <c r="O89" s="2"/>
      <c r="P89" s="2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</row>
    <row r="90" spans="1:39" customFormat="1" ht="12.75" customHeight="1" x14ac:dyDescent="0.25">
      <c r="A90" s="2"/>
      <c r="B90" s="2"/>
      <c r="C90" s="77"/>
      <c r="D90" s="78"/>
      <c r="E90" s="79"/>
      <c r="F90" s="78"/>
      <c r="G90" s="78"/>
      <c r="H90" s="78"/>
      <c r="I90" s="78"/>
      <c r="J90" s="2"/>
      <c r="K90" s="2"/>
      <c r="L90" s="62"/>
      <c r="M90" s="2"/>
      <c r="N90" s="2"/>
      <c r="O90" s="2"/>
      <c r="P90" s="2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</row>
    <row r="91" spans="1:39" customFormat="1" ht="12.75" customHeight="1" x14ac:dyDescent="0.25">
      <c r="A91" s="2"/>
      <c r="B91" s="2"/>
      <c r="C91" s="80"/>
      <c r="D91" s="81"/>
      <c r="E91" s="81"/>
      <c r="F91" s="81"/>
      <c r="G91" s="81"/>
      <c r="H91" s="81"/>
      <c r="I91" s="81"/>
      <c r="J91" s="2"/>
      <c r="K91" s="2"/>
      <c r="L91" s="62"/>
      <c r="M91" s="2"/>
      <c r="N91" s="2"/>
      <c r="O91" s="2"/>
      <c r="P91" s="2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1:39" ht="15.75" x14ac:dyDescent="0.25">
      <c r="A92" s="2"/>
      <c r="B92" s="2"/>
      <c r="C92" s="77"/>
      <c r="D92" s="78"/>
      <c r="E92" s="79"/>
      <c r="F92" s="78"/>
      <c r="G92" s="78"/>
      <c r="H92" s="78"/>
      <c r="I92" s="78"/>
      <c r="J92" s="2"/>
      <c r="K92" s="2"/>
      <c r="L92" s="62"/>
      <c r="M92" s="2"/>
      <c r="N92" s="2"/>
      <c r="O92" s="2"/>
      <c r="P92" s="2"/>
    </row>
    <row r="93" spans="1:39" ht="15.75" x14ac:dyDescent="0.25">
      <c r="A93" s="2"/>
      <c r="B93" s="2"/>
      <c r="C93" s="82"/>
      <c r="D93" s="83"/>
      <c r="E93" s="83"/>
      <c r="F93" s="83"/>
      <c r="G93" s="83"/>
      <c r="H93" s="83"/>
      <c r="I93" s="83"/>
      <c r="J93" s="83"/>
      <c r="K93" s="83"/>
      <c r="L93" s="84"/>
      <c r="M93" s="2"/>
    </row>
    <row r="94" spans="1:39" ht="15.75" x14ac:dyDescent="0.25">
      <c r="A94" s="2"/>
      <c r="B94" s="2"/>
      <c r="C94" s="82"/>
      <c r="D94" s="83"/>
      <c r="E94" s="83"/>
      <c r="F94" s="83"/>
      <c r="G94" s="83"/>
      <c r="H94" s="83"/>
      <c r="I94" s="83"/>
      <c r="J94" s="83"/>
      <c r="K94" s="83"/>
      <c r="L94" s="84"/>
      <c r="M94" s="2"/>
    </row>
    <row r="95" spans="1:39" ht="15.75" x14ac:dyDescent="0.25">
      <c r="A95" s="2"/>
      <c r="B95" s="2"/>
      <c r="C95" s="82"/>
      <c r="D95" s="83"/>
      <c r="E95" s="83"/>
      <c r="F95" s="83"/>
      <c r="G95" s="83"/>
      <c r="H95" s="83"/>
      <c r="I95" s="83"/>
      <c r="J95" s="2"/>
      <c r="K95" s="2"/>
      <c r="L95" s="62"/>
      <c r="M95" s="2"/>
    </row>
    <row r="96" spans="1:39" ht="15.75" x14ac:dyDescent="0.25">
      <c r="A96" s="2"/>
      <c r="B96" s="2"/>
      <c r="C96" s="82"/>
      <c r="D96" s="83"/>
      <c r="E96" s="83"/>
      <c r="F96" s="83"/>
      <c r="G96" s="83"/>
      <c r="H96" s="83"/>
      <c r="I96" s="83"/>
      <c r="J96" s="2"/>
      <c r="K96" s="85"/>
      <c r="L96" s="86"/>
      <c r="M96" s="2"/>
    </row>
    <row r="97" spans="1:16" ht="15.75" x14ac:dyDescent="0.25">
      <c r="A97" s="2"/>
      <c r="B97" s="2"/>
      <c r="C97" s="82"/>
      <c r="D97" s="83"/>
      <c r="E97" s="83"/>
      <c r="F97" s="83"/>
      <c r="G97" s="83"/>
      <c r="H97" s="83"/>
      <c r="I97" s="83"/>
      <c r="J97" s="2"/>
      <c r="K97" s="25"/>
      <c r="L97" s="87"/>
      <c r="M97" s="2"/>
    </row>
    <row r="98" spans="1:16" ht="15.75" x14ac:dyDescent="0.25">
      <c r="A98" s="2"/>
      <c r="B98" s="2"/>
      <c r="C98" s="82"/>
      <c r="D98" s="83"/>
      <c r="E98" s="83"/>
      <c r="F98" s="83"/>
      <c r="G98" s="83"/>
      <c r="H98" s="83"/>
      <c r="I98" s="83"/>
      <c r="J98" s="2"/>
      <c r="K98" s="85"/>
      <c r="L98" s="86"/>
      <c r="M98" s="2"/>
    </row>
    <row r="99" spans="1:16" ht="15.75" x14ac:dyDescent="0.25">
      <c r="A99" s="2"/>
      <c r="B99" s="2"/>
      <c r="C99" s="82"/>
      <c r="D99" s="83"/>
      <c r="E99" s="83"/>
      <c r="F99" s="83"/>
      <c r="G99" s="83"/>
      <c r="H99" s="83"/>
      <c r="I99" s="83"/>
      <c r="J99" s="2"/>
      <c r="K99" s="25"/>
      <c r="L99" s="87"/>
      <c r="M99" s="2"/>
    </row>
    <row r="100" spans="1:16" ht="15.75" x14ac:dyDescent="0.25">
      <c r="A100" s="2"/>
      <c r="B100" s="2"/>
      <c r="C100" s="82"/>
      <c r="D100" s="83"/>
      <c r="E100" s="83"/>
      <c r="F100" s="83"/>
      <c r="G100" s="83"/>
      <c r="H100" s="83"/>
      <c r="I100" s="83"/>
      <c r="J100" s="83"/>
      <c r="K100" s="83"/>
      <c r="L100" s="84"/>
      <c r="M100" s="2"/>
    </row>
    <row r="101" spans="1:16" ht="15.75" x14ac:dyDescent="0.25">
      <c r="A101" s="2"/>
      <c r="B101" s="2"/>
      <c r="C101" s="82"/>
      <c r="D101" s="83"/>
      <c r="E101" s="83"/>
      <c r="F101" s="83"/>
      <c r="G101" s="83"/>
      <c r="H101" s="83"/>
      <c r="I101" s="83"/>
      <c r="J101" s="83"/>
      <c r="K101" s="83"/>
      <c r="L101" s="84"/>
      <c r="M101" s="2"/>
      <c r="N101" s="2"/>
      <c r="O101" s="2"/>
      <c r="P101" s="2"/>
    </row>
    <row r="102" spans="1:16" ht="15.75" x14ac:dyDescent="0.25">
      <c r="A102" s="2"/>
      <c r="B102" s="2"/>
      <c r="C102" s="82"/>
      <c r="D102" s="83"/>
      <c r="E102" s="83"/>
      <c r="F102" s="83"/>
      <c r="G102" s="83"/>
      <c r="H102" s="83"/>
      <c r="I102" s="83"/>
      <c r="J102" s="2"/>
      <c r="K102" s="2"/>
      <c r="L102" s="62"/>
      <c r="M102" s="2"/>
      <c r="N102" s="2"/>
      <c r="O102" s="2"/>
      <c r="P102" s="2"/>
    </row>
    <row r="103" spans="1:16" ht="15.75" x14ac:dyDescent="0.25">
      <c r="A103" s="2"/>
      <c r="B103" s="2"/>
      <c r="C103" s="82"/>
      <c r="D103" s="83"/>
      <c r="E103" s="83"/>
      <c r="F103" s="83"/>
      <c r="G103" s="83"/>
      <c r="H103" s="83"/>
      <c r="I103" s="83"/>
      <c r="J103" s="2"/>
      <c r="K103" s="2"/>
      <c r="L103" s="62"/>
      <c r="M103" s="2"/>
      <c r="N103" s="2"/>
      <c r="O103" s="2"/>
      <c r="P103" s="2"/>
    </row>
    <row r="104" spans="1:16" ht="15.75" x14ac:dyDescent="0.25">
      <c r="A104" s="2"/>
      <c r="B104" s="2"/>
      <c r="C104" s="82"/>
      <c r="D104" s="83"/>
      <c r="E104" s="83"/>
      <c r="F104" s="83"/>
      <c r="G104" s="83"/>
      <c r="H104" s="83"/>
      <c r="I104" s="83"/>
      <c r="J104" s="2"/>
      <c r="K104" s="2"/>
      <c r="L104" s="62"/>
      <c r="M104" s="2"/>
      <c r="N104" s="2"/>
      <c r="O104" s="2"/>
      <c r="P104" s="2"/>
    </row>
    <row r="105" spans="1:16" ht="15.75" x14ac:dyDescent="0.25">
      <c r="A105" s="2"/>
      <c r="B105" s="2"/>
      <c r="C105" s="82"/>
      <c r="D105" s="83"/>
      <c r="E105" s="83"/>
      <c r="F105" s="83"/>
      <c r="G105" s="83"/>
      <c r="H105" s="83"/>
      <c r="I105" s="83"/>
      <c r="J105" s="83"/>
      <c r="K105" s="83"/>
      <c r="L105" s="84"/>
      <c r="M105" s="2"/>
      <c r="N105" s="2"/>
      <c r="O105" s="2"/>
      <c r="P105" s="2"/>
    </row>
    <row r="106" spans="1:16" ht="15.75" x14ac:dyDescent="0.25">
      <c r="A106" s="2"/>
      <c r="B106" s="2"/>
      <c r="C106" s="82"/>
      <c r="D106" s="83"/>
      <c r="E106" s="83"/>
      <c r="F106" s="83"/>
      <c r="G106" s="83"/>
      <c r="H106" s="83"/>
      <c r="I106" s="83"/>
      <c r="J106" s="83"/>
      <c r="K106" s="83"/>
      <c r="L106" s="84"/>
      <c r="M106" s="2"/>
      <c r="N106" s="2"/>
      <c r="O106" s="2"/>
      <c r="P106" s="2"/>
    </row>
    <row r="107" spans="1:16" ht="15.75" x14ac:dyDescent="0.25">
      <c r="A107" s="2"/>
      <c r="B107" s="2"/>
      <c r="C107" s="82"/>
      <c r="D107" s="83"/>
      <c r="E107" s="83"/>
      <c r="F107" s="83"/>
      <c r="G107" s="83"/>
      <c r="H107" s="83"/>
      <c r="I107" s="83"/>
      <c r="J107" s="2"/>
      <c r="K107" s="2"/>
      <c r="L107" s="62"/>
      <c r="M107" s="2"/>
      <c r="N107" s="2"/>
      <c r="O107" s="2"/>
      <c r="P107" s="2"/>
    </row>
    <row r="108" spans="1:16" ht="15" x14ac:dyDescent="0.25">
      <c r="A108" s="2"/>
      <c r="B108" s="2"/>
      <c r="C108" s="88"/>
      <c r="D108" s="89"/>
      <c r="E108" s="89"/>
      <c r="F108" s="89"/>
      <c r="G108" s="89"/>
      <c r="H108" s="89"/>
      <c r="I108" s="89"/>
      <c r="J108" s="89"/>
      <c r="K108" s="89"/>
      <c r="L108" s="90"/>
      <c r="M108" s="2"/>
      <c r="N108" s="25"/>
      <c r="O108" s="26"/>
      <c r="P108" s="91"/>
    </row>
    <row r="109" spans="1:16" ht="15.75" x14ac:dyDescent="0.25">
      <c r="A109" s="2"/>
      <c r="B109" s="2"/>
      <c r="C109" s="92"/>
      <c r="D109" s="93"/>
      <c r="E109" s="93"/>
      <c r="F109" s="93"/>
      <c r="G109" s="93"/>
      <c r="H109" s="93"/>
      <c r="I109" s="93"/>
      <c r="J109" s="93"/>
      <c r="K109" s="93"/>
      <c r="L109" s="94"/>
      <c r="M109" s="2"/>
      <c r="N109" s="2"/>
      <c r="O109" s="2"/>
      <c r="P109" s="2"/>
    </row>
    <row r="110" spans="1:16" ht="15.75" x14ac:dyDescent="0.25">
      <c r="A110" s="2"/>
      <c r="B110" s="2"/>
      <c r="C110" s="63"/>
      <c r="D110" s="64"/>
      <c r="E110" s="64"/>
      <c r="F110" s="64"/>
      <c r="G110" s="64"/>
      <c r="H110" s="64"/>
      <c r="I110" s="64"/>
      <c r="J110" s="64"/>
      <c r="K110" s="64"/>
      <c r="L110" s="65"/>
      <c r="M110" s="2"/>
      <c r="N110" s="2"/>
      <c r="O110" s="2"/>
      <c r="P110" s="2"/>
    </row>
    <row r="111" spans="1:16" ht="15.75" x14ac:dyDescent="0.25">
      <c r="A111" s="2"/>
      <c r="B111" s="2"/>
      <c r="C111" s="82"/>
      <c r="D111" s="83"/>
      <c r="E111" s="83"/>
      <c r="F111" s="83"/>
      <c r="G111" s="83"/>
      <c r="H111" s="83"/>
      <c r="I111" s="83"/>
      <c r="J111" s="83"/>
      <c r="K111" s="83"/>
      <c r="L111" s="84"/>
      <c r="M111" s="2"/>
      <c r="N111" s="2"/>
      <c r="O111" s="2"/>
      <c r="P111" s="2"/>
    </row>
    <row r="112" spans="1:16" ht="15.75" x14ac:dyDescent="0.25">
      <c r="A112" s="2"/>
      <c r="B112" s="2"/>
      <c r="C112" s="63"/>
      <c r="D112" s="64"/>
      <c r="E112" s="64"/>
      <c r="F112" s="64"/>
      <c r="G112" s="64"/>
      <c r="H112" s="64"/>
      <c r="I112" s="64"/>
      <c r="J112" s="64"/>
      <c r="K112" s="64"/>
      <c r="L112" s="65"/>
      <c r="M112" s="2"/>
      <c r="N112" s="2"/>
      <c r="O112" s="2"/>
      <c r="P112" s="2"/>
    </row>
    <row r="113" spans="1:16" ht="15.75" x14ac:dyDescent="0.25">
      <c r="A113" s="2"/>
      <c r="B113" s="2"/>
      <c r="C113" s="82"/>
      <c r="D113" s="83"/>
      <c r="E113" s="83"/>
      <c r="F113" s="83"/>
      <c r="G113" s="83"/>
      <c r="H113" s="83"/>
      <c r="I113" s="83"/>
      <c r="J113" s="83"/>
      <c r="K113" s="83"/>
      <c r="L113" s="84"/>
      <c r="M113" s="2"/>
      <c r="N113" s="2"/>
      <c r="O113" s="2"/>
      <c r="P113" s="2"/>
    </row>
    <row r="114" spans="1:16" ht="15.75" x14ac:dyDescent="0.25">
      <c r="A114" s="27"/>
      <c r="B114" s="27"/>
      <c r="C114" s="95"/>
      <c r="D114" s="93"/>
      <c r="E114" s="93"/>
      <c r="F114" s="93"/>
      <c r="G114" s="93"/>
      <c r="H114" s="93"/>
      <c r="I114" s="93"/>
      <c r="J114" s="27"/>
      <c r="K114" s="27"/>
      <c r="L114" s="96"/>
      <c r="M114" s="2"/>
      <c r="N114" s="27"/>
      <c r="O114" s="27"/>
      <c r="P114" s="27"/>
    </row>
    <row r="115" spans="1:16" x14ac:dyDescent="0.2">
      <c r="C115" s="97"/>
      <c r="L115" s="98"/>
    </row>
    <row r="116" spans="1:16" x14ac:dyDescent="0.2">
      <c r="C116" s="97"/>
      <c r="L116" s="98"/>
    </row>
    <row r="117" spans="1:16" x14ac:dyDescent="0.2">
      <c r="C117" s="97"/>
      <c r="L117" s="98"/>
    </row>
    <row r="118" spans="1:16" x14ac:dyDescent="0.2">
      <c r="C118" s="97"/>
      <c r="L118" s="98"/>
    </row>
    <row r="119" spans="1:16" x14ac:dyDescent="0.2">
      <c r="C119" s="97"/>
      <c r="L119" s="98"/>
    </row>
    <row r="120" spans="1:16" x14ac:dyDescent="0.2">
      <c r="C120" s="97"/>
      <c r="L120" s="98"/>
    </row>
    <row r="121" spans="1:16" x14ac:dyDescent="0.2">
      <c r="C121" s="97"/>
      <c r="L121" s="98"/>
    </row>
    <row r="122" spans="1:16" x14ac:dyDescent="0.2">
      <c r="C122" s="97"/>
      <c r="L122" s="98"/>
    </row>
    <row r="123" spans="1:16" x14ac:dyDescent="0.2">
      <c r="C123" s="97"/>
      <c r="L123" s="98"/>
    </row>
    <row r="124" spans="1:16" x14ac:dyDescent="0.2">
      <c r="C124" s="97"/>
      <c r="L124" s="98"/>
    </row>
    <row r="125" spans="1:16" x14ac:dyDescent="0.2">
      <c r="C125" s="97"/>
      <c r="L125" s="98"/>
    </row>
    <row r="126" spans="1:16" x14ac:dyDescent="0.2">
      <c r="C126" s="97"/>
      <c r="L126" s="98"/>
    </row>
    <row r="127" spans="1:16" x14ac:dyDescent="0.2">
      <c r="C127" s="97"/>
      <c r="L127" s="98"/>
    </row>
    <row r="128" spans="1:16" x14ac:dyDescent="0.2">
      <c r="C128" s="97"/>
      <c r="L128" s="98"/>
    </row>
    <row r="129" spans="3:12" x14ac:dyDescent="0.2">
      <c r="C129" s="97"/>
      <c r="L129" s="98"/>
    </row>
    <row r="130" spans="3:12" x14ac:dyDescent="0.2">
      <c r="C130" s="97"/>
      <c r="L130" s="98"/>
    </row>
    <row r="131" spans="3:12" x14ac:dyDescent="0.2">
      <c r="C131" s="97"/>
      <c r="L131" s="98"/>
    </row>
    <row r="132" spans="3:12" x14ac:dyDescent="0.2">
      <c r="C132" s="97"/>
      <c r="L132" s="98"/>
    </row>
    <row r="133" spans="3:12" x14ac:dyDescent="0.2">
      <c r="C133" s="97"/>
      <c r="L133" s="98"/>
    </row>
    <row r="134" spans="3:12" x14ac:dyDescent="0.2">
      <c r="C134" s="97"/>
      <c r="L134" s="98"/>
    </row>
    <row r="135" spans="3:12" x14ac:dyDescent="0.2">
      <c r="C135" s="97"/>
      <c r="L135" s="98"/>
    </row>
    <row r="136" spans="3:12" x14ac:dyDescent="0.2">
      <c r="C136" s="97"/>
      <c r="L136" s="98"/>
    </row>
    <row r="137" spans="3:12" x14ac:dyDescent="0.2">
      <c r="C137" s="99"/>
      <c r="D137" s="100"/>
      <c r="E137" s="100"/>
      <c r="F137" s="100"/>
      <c r="G137" s="100"/>
      <c r="H137" s="100"/>
      <c r="I137" s="100"/>
      <c r="J137" s="100"/>
      <c r="K137" s="100"/>
      <c r="L137" s="101"/>
    </row>
  </sheetData>
  <mergeCells count="21">
    <mergeCell ref="D13:K13"/>
    <mergeCell ref="D14:K14"/>
    <mergeCell ref="H7:K7"/>
    <mergeCell ref="G8:K8"/>
    <mergeCell ref="F17:H17"/>
    <mergeCell ref="F23:K23"/>
    <mergeCell ref="C69:I69"/>
    <mergeCell ref="D66:L66"/>
    <mergeCell ref="D68:L68"/>
    <mergeCell ref="C64:K64"/>
    <mergeCell ref="D65:L65"/>
    <mergeCell ref="D61:F61"/>
    <mergeCell ref="D62:F62"/>
    <mergeCell ref="D63:F63"/>
    <mergeCell ref="D60:L60"/>
    <mergeCell ref="G24:L24"/>
    <mergeCell ref="D25:D26"/>
    <mergeCell ref="F25:K26"/>
    <mergeCell ref="C57:L57"/>
    <mergeCell ref="D59:F59"/>
    <mergeCell ref="D67:L67"/>
  </mergeCells>
  <phoneticPr fontId="30" type="noConversion"/>
  <hyperlinks>
    <hyperlink ref="F21" r:id="rId1" display="andrea.dupre@amphos21.com" xr:uid="{16842CE1-3A5A-4675-B645-CE97AE288E4A}"/>
  </hyperlinks>
  <pageMargins left="0.59055118110236227" right="0" top="1.3779527559055118" bottom="0.59055118110236227" header="0.47244094488188981" footer="0"/>
  <pageSetup paperSize="9" scale="56" fitToHeight="0" orientation="portrait" verticalDpi="300" r:id="rId2"/>
  <headerFooter alignWithMargins="0">
    <oddHeader>&amp;L&amp;G</oddHeader>
    <oddFooter>&amp;L
Oficina central
Plaza Ercilla 883, Santiago, Chile&amp;CTeléfono: +56 2 2978 4800
Correo electrónico: contacto@idiem.cl 
&amp;KFF0000www.idiem.cl&amp;RDGL-FA-193 V3
Página &amp;P de &amp;N</oddFooter>
  </headerFooter>
  <rowBreaks count="2" manualBreakCount="2">
    <brk id="55" min="1" max="12" man="1"/>
    <brk id="69" min="1" max="12" man="1"/>
  </rowBreaks>
  <drawing r:id="rId3"/>
  <legacyDrawing r:id="rId4"/>
  <legacyDrawingHF r:id="rId5"/>
  <oleObjects>
    <mc:AlternateContent xmlns:mc="http://schemas.openxmlformats.org/markup-compatibility/2006">
      <mc:Choice Requires="x14">
        <oleObject progId="Document" shapeId="2050" r:id="rId6">
          <objectPr defaultSize="0" autoPict="0" r:id="rId7">
            <anchor moveWithCells="1">
              <from>
                <xdr:col>2</xdr:col>
                <xdr:colOff>133350</xdr:colOff>
                <xdr:row>69</xdr:row>
                <xdr:rowOff>171450</xdr:rowOff>
              </from>
              <to>
                <xdr:col>11</xdr:col>
                <xdr:colOff>790575</xdr:colOff>
                <xdr:row>136</xdr:row>
                <xdr:rowOff>114300</xdr:rowOff>
              </to>
            </anchor>
          </objectPr>
        </oleObject>
      </mc:Choice>
      <mc:Fallback>
        <oleObject progId="Document" shapeId="2050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PRESUPUESTO</vt:lpstr>
      <vt:lpstr>PRESUPUESTO!Área_de_impresión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cesar.ahumada</dc:creator>
  <cp:lastModifiedBy>Diego Nicolas Roman Araneda (diego.roman)</cp:lastModifiedBy>
  <cp:lastPrinted>2026-04-16T14:00:36Z</cp:lastPrinted>
  <dcterms:created xsi:type="dcterms:W3CDTF">2014-06-09T13:22:42Z</dcterms:created>
  <dcterms:modified xsi:type="dcterms:W3CDTF">2026-08-28T16:41:50Z</dcterms:modified>
</cp:coreProperties>
</file>